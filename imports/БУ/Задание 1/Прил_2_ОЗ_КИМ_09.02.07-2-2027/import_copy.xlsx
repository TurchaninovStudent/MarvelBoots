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40" windowHeight="12450" firstSheet="4" activeTab="10"/>
  </bookViews>
  <sheets>
    <sheet name="products" sheetId="1" r:id="rId1"/>
    <sheet name="users" sheetId="2" r:id="rId2"/>
    <sheet name="orders" sheetId="3" r:id="rId3"/>
    <sheet name="manufacturer" sheetId="5" r:id="rId4"/>
    <sheet name="category" sheetId="13" r:id="rId5"/>
    <sheet name="product_size" sheetId="12" r:id="rId6"/>
    <sheet name="subcategory" sheetId="14" r:id="rId7"/>
    <sheet name="products_data" sheetId="15" r:id="rId8"/>
    <sheet name="users_import" sheetId="16" r:id="rId9"/>
    <sheet name="user_role" sheetId="17" r:id="rId10"/>
    <sheet name="orders_import" sheetId="18" r:id="rId1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34" i="1"/>
</calcChain>
</file>

<file path=xl/sharedStrings.xml><?xml version="1.0" encoding="utf-8"?>
<sst xmlns="http://schemas.openxmlformats.org/spreadsheetml/2006/main" count="975" uniqueCount="376">
  <si>
    <t>Категория</t>
  </si>
  <si>
    <t>Подкатегория</t>
  </si>
  <si>
    <t>Изображение</t>
  </si>
  <si>
    <t>Наименование товара</t>
  </si>
  <si>
    <t>Производство</t>
  </si>
  <si>
    <t>Описание</t>
  </si>
  <si>
    <t>Состав</t>
  </si>
  <si>
    <t>Цена</t>
  </si>
  <si>
    <t>Размерный ряд</t>
  </si>
  <si>
    <t>Доступные размеры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</si>
  <si>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</si>
  <si>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</si>
  <si>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</si>
  <si>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</si>
  <si>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</si>
  <si>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</si>
  <si>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</si>
  <si>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20, 21, 22, 23, 24, 25, 26, 27, 28, 29, 30, 31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</si>
  <si>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</si>
  <si>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</si>
  <si>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</si>
  <si>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</si>
  <si>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22, 23, 24, 25, 26, 27, 28, 29, 30, 31, 32, 33, 34</t>
  </si>
  <si>
    <t>33, 34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</si>
  <si>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</si>
  <si>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</si>
  <si>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</si>
  <si>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</si>
  <si>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</si>
  <si>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19, 20, 21, 22, 23, 24, 25, 26, 27, 28, 29, 30</t>
  </si>
  <si>
    <t>19, 20, 25, 26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</si>
  <si>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</si>
  <si>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</si>
  <si>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</si>
  <si>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</si>
  <si>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</si>
  <si>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</si>
  <si>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19, 20, 21, 22, 23, 24, 25, 26, 27, 28, 29, 30, 32</t>
  </si>
  <si>
    <t>19, 20, 26, 30, 32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</si>
  <si>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</si>
  <si>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</si>
  <si>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</si>
  <si>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</si>
  <si>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</si>
  <si>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21, 22, 23, 24, 25, 26, 27, 28, 29, 30, 32, 33</t>
  </si>
  <si>
    <t>21, 26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</si>
  <si>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</si>
  <si>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</si>
  <si>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</si>
  <si>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</si>
  <si>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</si>
  <si>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18, 19, 20, 21, 22, 23, 24, 25, 26, 27, 28, 29</t>
  </si>
  <si>
    <t>27, 28, 29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</si>
  <si>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</si>
  <si>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</si>
  <si>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</si>
  <si>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</si>
  <si>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</si>
  <si>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</si>
  <si>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18, 19, 20, 21, 22, 23, 24, 25, 26, 27, 28</t>
  </si>
  <si>
    <t>21, 22, 23, 24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</si>
  <si>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</si>
  <si>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</si>
  <si>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</si>
  <si>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</si>
  <si>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</si>
  <si>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27, 28, 29, 30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</si>
  <si>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</si>
  <si>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</si>
  <si>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</si>
  <si>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</si>
  <si>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</si>
  <si>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</si>
  <si>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18, 19, 20, 21, 22, 23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</si>
  <si>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</si>
  <si>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</si>
  <si>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</si>
  <si>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</si>
  <si>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</si>
  <si>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</si>
  <si>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36, 37, 38, 39, 40, 41</t>
  </si>
  <si>
    <t>36, 37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</si>
  <si>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</si>
  <si>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</si>
  <si>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</si>
  <si>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</si>
  <si>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39, 40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</si>
  <si>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</si>
  <si>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</si>
  <si>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</si>
  <si>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</si>
  <si>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</si>
  <si>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37, 39, 40, 41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</si>
  <si>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</si>
  <si>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</si>
  <si>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</si>
  <si>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</si>
  <si>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</si>
  <si>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36, 37, 38, 39, 40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</si>
  <si>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</si>
  <si>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</si>
  <si>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</si>
  <si>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</si>
  <si>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</si>
  <si>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35, 36, 37, 38, 39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</si>
  <si>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</si>
  <si>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</si>
  <si>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</si>
  <si>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</si>
  <si>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</si>
  <si>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37, 39, 40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</si>
  <si>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</si>
  <si>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</si>
  <si>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</si>
  <si>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</si>
  <si>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</si>
  <si>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</si>
  <si>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</si>
  <si>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</si>
  <si>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36, 38, 39, 40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</si>
  <si>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</si>
  <si>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</si>
  <si>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</si>
  <si>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</si>
  <si>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35, 36, 37, 38, 39, 40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</si>
  <si>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</si>
  <si>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</si>
  <si>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</si>
  <si>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 xml:space="preserve">Верх — 70% кожа, 30% текстиль, подкладка — текстиль, подошва — резина
</t>
  </si>
  <si>
    <t>35, 36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</si>
  <si>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</si>
  <si>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</si>
  <si>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</si>
  <si>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</si>
  <si>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</si>
  <si>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</si>
  <si>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</si>
  <si>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</si>
  <si>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</si>
  <si>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</si>
  <si>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</si>
  <si>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</si>
  <si>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35, 38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</si>
  <si>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</si>
  <si>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</si>
  <si>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</si>
  <si>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</si>
  <si>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</si>
  <si>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</si>
  <si>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</si>
  <si>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</si>
  <si>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</si>
  <si>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</si>
  <si>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</si>
  <si>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</si>
  <si>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</si>
  <si>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41, 42, 43, 44</t>
  </si>
  <si>
    <t>41, 42, 44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</si>
  <si>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</si>
  <si>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</si>
  <si>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</si>
  <si>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</si>
  <si>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40, 41, 42, 43, 44, 45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</si>
  <si>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</si>
  <si>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</si>
  <si>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</si>
  <si>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</si>
  <si>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</si>
  <si>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40, 41, 42, 43, 44</t>
  </si>
  <si>
    <t>42, 43, 44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</si>
  <si>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</si>
  <si>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</si>
  <si>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</si>
  <si>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</si>
  <si>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</si>
  <si>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</si>
  <si>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</si>
  <si>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</si>
  <si>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</si>
  <si>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39, 40, 41, 42, 43, 44, 45</t>
  </si>
  <si>
    <t>41, 42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</si>
  <si>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</si>
  <si>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</si>
  <si>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</si>
  <si>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</si>
  <si>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40, 42, 44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</si>
  <si>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</si>
  <si>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</si>
  <si>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</si>
  <si>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</si>
  <si>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42, 44, 45</t>
  </si>
  <si>
    <t>35, 36, 36.5, 37, 37.5, 38, 38.5, 39, 39.5, 40</t>
  </si>
  <si>
    <t>37, 37.5, 38, 38.5</t>
  </si>
  <si>
    <t>41.5, 42, 42.5, 43, 44, 45</t>
  </si>
  <si>
    <t>35, 36, 36.5, 37, 37.5, 38, 38.5, 39, 39.5, 40, 41, 42, 43, 44, 45</t>
  </si>
  <si>
    <t>Количество пар обуви каждого доступного размера</t>
  </si>
  <si>
    <t>39, 39.5, 40, 40.5, 41, 41.5, 42, 42.5, 43, 44, 45</t>
  </si>
  <si>
    <t>35, 36, 39</t>
  </si>
  <si>
    <t>Фамилия</t>
  </si>
  <si>
    <t>Имя</t>
  </si>
  <si>
    <t>Отчетсво</t>
  </si>
  <si>
    <t>Логин</t>
  </si>
  <si>
    <t>Роль</t>
  </si>
  <si>
    <t>Иванов</t>
  </si>
  <si>
    <t>Иван</t>
  </si>
  <si>
    <t>Сергеевич</t>
  </si>
  <si>
    <t>isivanov</t>
  </si>
  <si>
    <t>Администратор</t>
  </si>
  <si>
    <t>Петров</t>
  </si>
  <si>
    <t>Пeтр</t>
  </si>
  <si>
    <t>Алексеевич</t>
  </si>
  <si>
    <t>papetrov</t>
  </si>
  <si>
    <t>Менеджер</t>
  </si>
  <si>
    <t>Сидорова</t>
  </si>
  <si>
    <t>Анна</t>
  </si>
  <si>
    <t>Дмитриевна</t>
  </si>
  <si>
    <t>asidorova</t>
  </si>
  <si>
    <t>Авторизованный пользователь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</si>
  <si>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</si>
  <si>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</si>
  <si>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</si>
  <si>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</si>
  <si>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</si>
  <si>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</si>
  <si>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</si>
  <si>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</si>
  <si>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</si>
  <si>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</si>
  <si>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</si>
  <si>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</si>
  <si>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</si>
  <si>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</si>
  <si>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</si>
  <si>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</si>
  <si>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</si>
  <si>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</si>
  <si>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</si>
  <si>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</si>
  <si>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</si>
  <si>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</si>
  <si>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</si>
  <si>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</si>
  <si>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</si>
  <si>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</si>
  <si>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</si>
  <si>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</si>
  <si>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</si>
  <si>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</si>
  <si>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</si>
  <si>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</si>
  <si>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</si>
  <si>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</si>
  <si>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</si>
  <si>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</si>
  <si>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</si>
  <si>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</si>
  <si>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</si>
  <si>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</si>
  <si>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</si>
  <si>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</si>
  <si>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</si>
  <si>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</si>
  <si>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</si>
  <si>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</si>
  <si>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</si>
  <si>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</si>
  <si>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</si>
  <si>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</si>
  <si>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</si>
  <si>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</si>
  <si>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</si>
  <si>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</si>
  <si>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</si>
  <si>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</si>
  <si>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</si>
  <si>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</si>
  <si>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</si>
  <si>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</si>
  <si>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</si>
  <si>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</si>
  <si>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</si>
  <si>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</si>
  <si>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</si>
  <si>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</si>
  <si>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</si>
  <si>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</si>
  <si>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Номер заказа</t>
  </si>
  <si>
    <t>Дата заказа</t>
  </si>
  <si>
    <t>ФИО</t>
  </si>
  <si>
    <t>Размер</t>
  </si>
  <si>
    <t>Количество</t>
  </si>
  <si>
    <t>Цена за единицу</t>
  </si>
  <si>
    <t>Сидорова Анна Дмитриевна</t>
  </si>
  <si>
    <t>Смирнов Дмитрий Владимирович</t>
  </si>
  <si>
    <t>Васильева Ольга Игоревна</t>
  </si>
  <si>
    <t>Михайлова Татьяна Юрьевна</t>
  </si>
  <si>
    <t>Морозов Сергей Павлович</t>
  </si>
  <si>
    <t>Алексеев Артём Евгеньевич</t>
  </si>
  <si>
    <t>Кроссовки «Азимут Бег»</t>
  </si>
  <si>
    <t>Лебедева Ирина Владимировна</t>
  </si>
  <si>
    <t>Павлова Елена Петровна</t>
  </si>
  <si>
    <t>Николаев Владимир Иванович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</si>
  <si>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</si>
  <si>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</si>
  <si>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</si>
  <si>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</si>
  <si>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</si>
  <si>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</si>
  <si>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</si>
  <si>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</si>
  <si>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</si>
  <si>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</si>
  <si>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</si>
  <si>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</si>
  <si>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Столбец1</t>
  </si>
  <si>
    <t>Id</t>
  </si>
  <si>
    <t>19</t>
  </si>
  <si>
    <t>18</t>
  </si>
  <si>
    <t>36</t>
  </si>
  <si>
    <t>35</t>
  </si>
  <si>
    <t>39</t>
  </si>
  <si>
    <t>41</t>
  </si>
  <si>
    <t>40</t>
  </si>
  <si>
    <t>32</t>
  </si>
  <si>
    <t>33</t>
  </si>
  <si>
    <t>34</t>
  </si>
  <si>
    <t>37</t>
  </si>
  <si>
    <t>38</t>
  </si>
  <si>
    <t>36.5</t>
  </si>
  <si>
    <t>37.5</t>
  </si>
  <si>
    <t>38.5</t>
  </si>
  <si>
    <t>39.5</t>
  </si>
  <si>
    <t>40.5</t>
  </si>
  <si>
    <t>41.5</t>
  </si>
  <si>
    <t>42</t>
  </si>
  <si>
    <t>42.5</t>
  </si>
  <si>
    <t>43</t>
  </si>
  <si>
    <t>44</t>
  </si>
  <si>
    <t>45</t>
  </si>
  <si>
    <t>Иванов Иван Сергеевич</t>
  </si>
  <si>
    <t>Петров Пeтр Алексеевич</t>
  </si>
  <si>
    <t>Кузнецова Екатерина Андреевна</t>
  </si>
  <si>
    <t>Попов Алексей Николаевич</t>
  </si>
  <si>
    <t>Соколов Павел Викторович</t>
  </si>
  <si>
    <t>Новикова Наталья Сергеевна</t>
  </si>
  <si>
    <t>Фёдоров Андрей Максимович</t>
  </si>
  <si>
    <t>Волкова Юлия Александровна</t>
  </si>
  <si>
    <t>Егоров Никита Денисович</t>
  </si>
  <si>
    <t>Козлов Роман Олегович</t>
  </si>
  <si>
    <t>Степанова Виктория Романовна</t>
  </si>
  <si>
    <t>ManufacturerId</t>
  </si>
  <si>
    <t>ManufacturerName</t>
  </si>
  <si>
    <t>ProductSizeId</t>
  </si>
  <si>
    <t>ProductId</t>
  </si>
  <si>
    <t>Size</t>
  </si>
  <si>
    <t>Stock</t>
  </si>
  <si>
    <t>InitialStock</t>
  </si>
  <si>
    <t>CategoryId</t>
  </si>
  <si>
    <t>CategoryName</t>
  </si>
  <si>
    <t>SubCatagoryId</t>
  </si>
  <si>
    <t>SubCatagoryName</t>
  </si>
  <si>
    <t>ImagePath</t>
  </si>
  <si>
    <t>SubCategoryId</t>
  </si>
  <si>
    <t>ProductResources</t>
  </si>
  <si>
    <t>Price</t>
  </si>
  <si>
    <t>UserId</t>
  </si>
  <si>
    <t>FullName</t>
  </si>
  <si>
    <t>Login</t>
  </si>
  <si>
    <t>RoleId</t>
  </si>
  <si>
    <t>RoleName</t>
  </si>
  <si>
    <t>OrderId</t>
  </si>
  <si>
    <t>OrderPosition</t>
  </si>
  <si>
    <t>Date</t>
  </si>
  <si>
    <t>Amount</t>
  </si>
  <si>
    <t>PricePerUnit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</si>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</sst>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14" fontId="0" fillId="0" borderId="0" xfId="0" applyNumberFormat="1"/>
    <xf numFmtId="0" fontId="2" fillId="0" borderId="0" xfId="0" applyFont="1"/>
  </cellXfs>
  <cellStyles count="2">
    <cellStyle name="Обычный" xfId="0" builtinId="0"/>
    <cellStyle name="Обычный 2" xfId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6"/>
      <tableStyleElement type="headerRow" dxfId="15"/>
      <tableStyleElement type="firstRowStripe" dxfId="14"/>
    </tableStyle>
    <tableStyle name="TableStyleQueryResult" pivot="0" count="3">
      <tableStyleElement type="wholeTable" dxfId="13"/>
      <tableStyleElement type="headerRow" dxfId="12"/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3" displayName="Таблица3" ref="H34:K35" totalsRowShown="0" headerRowDxfId="10">
  <autoFilter ref="H34:K35"/>
  <tableColumns count="4">
    <tableColumn id="1" name="Id" dataDxfId="9"/>
    <tableColumn id="2" name="Размерный ряд" dataDxfId="8"/>
    <tableColumn id="3" name="Доступные размеры" dataDxfId="7"/>
    <tableColumn id="4" name="Столбец1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Таблица6" displayName="Таблица6" ref="M34:P65" totalsRowShown="0" headerRowDxfId="5" dataDxfId="4">
  <autoFilter ref="M34:P65"/>
  <tableColumns count="4">
    <tableColumn id="1" name="Id" dataDxfId="3"/>
    <tableColumn id="2" name="Размерный ряд" dataDxfId="2"/>
    <tableColumn id="3" name="Доступные размеры" dataDxfId="1"/>
    <tableColumn id="4" name="Количество пар обуви каждого доступного размер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opLeftCell="C1" zoomScale="70" zoomScaleNormal="70" workbookViewId="0">
      <selection activeCell="J55" sqref="J55"/>
    </sheetView>
  </sheetViews>
  <sheetFormatPr defaultColWidth="8.85546875" defaultRowHeight="15.75" x14ac:dyDescent="0.25"/>
  <cols>
    <col min="1" max="1" width="16.140625" style="1" customWidth="1"/>
    <col min="2" max="2" width="15" style="1" customWidth="1"/>
    <col min="3" max="3" width="25.42578125" style="1" customWidth="1"/>
    <col min="4" max="4" width="63.7109375" style="1" customWidth="1"/>
    <col min="5" max="5" width="23.7109375" style="1" customWidth="1"/>
    <col min="6" max="6" width="75" style="1" customWidth="1"/>
    <col min="7" max="7" width="83.140625" style="1" customWidth="1"/>
    <col min="8" max="8" width="43.85546875" style="1" customWidth="1"/>
    <col min="9" max="9" width="57.28515625" style="1" customWidth="1"/>
    <col min="10" max="10" width="58.28515625" style="1" customWidth="1"/>
    <col min="11" max="11" width="22.42578125" style="1" customWidth="1"/>
    <col min="12" max="12" width="24.5703125" style="1" customWidth="1"/>
    <col min="13" max="13" width="8.85546875" style="1"/>
    <col min="14" max="14" width="18.5703125" style="1" customWidth="1"/>
    <col min="15" max="15" width="23.42578125" style="1" customWidth="1"/>
    <col min="16" max="16" width="53.28515625" style="1" customWidth="1"/>
    <col min="17" max="16384" width="8.85546875" style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3" x14ac:dyDescent="0.25">
      <c r="A2" s="1">
        <v>1</v>
      </c>
      <c r="B2" s="1">
        <v>1</v>
      </c>
      <c r="C2" s="1">
        <v>1</v>
      </c>
      <c r="D2" s="1" t="s">
        <v>12</v>
      </c>
      <c r="E2" s="1" t="s">
        <v>13</v>
      </c>
      <c r="F2" s="1">
        <v>1</v>
      </c>
      <c r="G2" s="1" t="s">
        <v>15</v>
      </c>
      <c r="H2" s="1" t="s">
        <v>16</v>
      </c>
      <c r="I2" s="3">
        <v>2190</v>
      </c>
      <c r="J2" s="1" t="s">
        <v>11</v>
      </c>
      <c r="K2">
        <v>1</v>
      </c>
      <c r="M2" s="1" t="e">
        <f>VLOOKUP(C2, $J$2:$KQ$6, 2, 0)</f>
        <v>#N/A</v>
      </c>
    </row>
    <row r="3" spans="1:13" x14ac:dyDescent="0.25">
      <c r="A3" s="1">
        <v>2</v>
      </c>
      <c r="B3" s="1">
        <v>1</v>
      </c>
      <c r="C3" s="1">
        <v>1</v>
      </c>
      <c r="E3" s="1" t="s">
        <v>18</v>
      </c>
      <c r="F3" s="1">
        <v>2</v>
      </c>
      <c r="G3" s="1" t="s">
        <v>20</v>
      </c>
      <c r="H3" s="1" t="s">
        <v>21</v>
      </c>
      <c r="I3" s="3">
        <v>2490</v>
      </c>
      <c r="J3" s="1" t="s">
        <v>31</v>
      </c>
      <c r="K3">
        <v>2</v>
      </c>
      <c r="M3" s="1" t="e">
        <f t="shared" ref="M3:M32" si="0">VLOOKUP(C3, $J$2:$KQ$6, 2, 0)</f>
        <v>#N/A</v>
      </c>
    </row>
    <row r="4" spans="1:13" x14ac:dyDescent="0.25">
      <c r="A4" s="1">
        <v>3</v>
      </c>
      <c r="B4" s="1">
        <v>1</v>
      </c>
      <c r="C4" s="1">
        <v>1</v>
      </c>
      <c r="D4" s="1" t="s">
        <v>24</v>
      </c>
      <c r="E4" s="1" t="s">
        <v>25</v>
      </c>
      <c r="F4" s="1">
        <v>3</v>
      </c>
      <c r="G4" s="1" t="s">
        <v>27</v>
      </c>
      <c r="H4" s="1" t="s">
        <v>28</v>
      </c>
      <c r="I4" s="3">
        <v>1990</v>
      </c>
      <c r="J4" s="1" t="s">
        <v>53</v>
      </c>
      <c r="K4">
        <v>3</v>
      </c>
      <c r="M4" s="1" t="e">
        <f t="shared" si="0"/>
        <v>#N/A</v>
      </c>
    </row>
    <row r="5" spans="1:13" x14ac:dyDescent="0.25">
      <c r="A5" s="1">
        <v>4</v>
      </c>
      <c r="B5" s="1">
        <v>1</v>
      </c>
      <c r="C5" s="1">
        <v>2</v>
      </c>
      <c r="D5" s="1" t="s">
        <v>32</v>
      </c>
      <c r="E5" s="1" t="s">
        <v>33</v>
      </c>
      <c r="F5" s="1">
        <v>4</v>
      </c>
      <c r="G5" s="1" t="s">
        <v>35</v>
      </c>
      <c r="H5" s="1" t="s">
        <v>36</v>
      </c>
      <c r="I5" s="3">
        <v>3490</v>
      </c>
      <c r="J5" s="1" t="s">
        <v>67</v>
      </c>
      <c r="K5">
        <v>4</v>
      </c>
      <c r="M5" s="1" t="e">
        <f t="shared" si="0"/>
        <v>#N/A</v>
      </c>
    </row>
    <row r="6" spans="1:13" x14ac:dyDescent="0.25">
      <c r="A6" s="1">
        <v>5</v>
      </c>
      <c r="B6" s="1">
        <v>1</v>
      </c>
      <c r="C6" s="1">
        <v>2</v>
      </c>
      <c r="D6" s="1" t="s">
        <v>39</v>
      </c>
      <c r="E6" s="1" t="s">
        <v>40</v>
      </c>
      <c r="F6" s="1">
        <v>5</v>
      </c>
      <c r="G6" s="1" t="s">
        <v>42</v>
      </c>
      <c r="H6" s="1" t="s">
        <v>43</v>
      </c>
      <c r="I6" s="3">
        <v>3190</v>
      </c>
      <c r="J6" s="1" t="s">
        <v>174</v>
      </c>
      <c r="K6">
        <v>5</v>
      </c>
      <c r="M6" s="1" t="e">
        <f t="shared" si="0"/>
        <v>#N/A</v>
      </c>
    </row>
    <row r="7" spans="1:13" x14ac:dyDescent="0.25">
      <c r="A7" s="1">
        <v>6</v>
      </c>
      <c r="B7" s="1">
        <v>1</v>
      </c>
      <c r="C7" s="1">
        <v>2</v>
      </c>
      <c r="D7" s="1" t="s">
        <v>46</v>
      </c>
      <c r="E7" s="1" t="s">
        <v>47</v>
      </c>
      <c r="F7" s="1">
        <v>6</v>
      </c>
      <c r="G7" s="1" t="s">
        <v>49</v>
      </c>
      <c r="H7" s="1" t="s">
        <v>50</v>
      </c>
      <c r="I7" s="3">
        <v>4290</v>
      </c>
      <c r="J7" s="2"/>
      <c r="K7" s="2"/>
      <c r="L7" s="3"/>
      <c r="M7" s="1" t="e">
        <f t="shared" si="0"/>
        <v>#N/A</v>
      </c>
    </row>
    <row r="8" spans="1:13" x14ac:dyDescent="0.25">
      <c r="A8" s="1">
        <v>7</v>
      </c>
      <c r="B8" s="1">
        <v>1</v>
      </c>
      <c r="C8" s="1">
        <v>3</v>
      </c>
      <c r="D8" s="1" t="s">
        <v>54</v>
      </c>
      <c r="E8" s="1" t="s">
        <v>55</v>
      </c>
      <c r="F8" s="1">
        <v>7</v>
      </c>
      <c r="G8" s="1" t="s">
        <v>57</v>
      </c>
      <c r="H8" s="1" t="s">
        <v>58</v>
      </c>
      <c r="I8" s="3">
        <v>2790</v>
      </c>
      <c r="J8" s="2"/>
      <c r="K8" s="2"/>
      <c r="L8" s="3"/>
      <c r="M8" s="1" t="e">
        <f t="shared" si="0"/>
        <v>#N/A</v>
      </c>
    </row>
    <row r="9" spans="1:13" x14ac:dyDescent="0.25">
      <c r="A9" s="1">
        <v>8</v>
      </c>
      <c r="B9" s="1">
        <v>1</v>
      </c>
      <c r="C9" s="1">
        <v>3</v>
      </c>
      <c r="D9" s="1" t="s">
        <v>61</v>
      </c>
      <c r="E9" s="1" t="s">
        <v>62</v>
      </c>
      <c r="F9" s="1">
        <v>8</v>
      </c>
      <c r="G9" s="1" t="s">
        <v>64</v>
      </c>
      <c r="H9" s="1" t="s">
        <v>65</v>
      </c>
      <c r="I9" s="3">
        <v>1690</v>
      </c>
      <c r="J9" s="2"/>
      <c r="K9" s="2"/>
      <c r="L9" s="3"/>
      <c r="M9" s="1" t="e">
        <f t="shared" si="0"/>
        <v>#N/A</v>
      </c>
    </row>
    <row r="10" spans="1:13" x14ac:dyDescent="0.25">
      <c r="A10" s="1">
        <v>9</v>
      </c>
      <c r="B10" s="1">
        <v>1</v>
      </c>
      <c r="C10" s="1">
        <v>4</v>
      </c>
      <c r="D10" s="1" t="s">
        <v>68</v>
      </c>
      <c r="E10" s="1" t="s">
        <v>69</v>
      </c>
      <c r="F10" s="1">
        <v>9</v>
      </c>
      <c r="G10" s="1" t="s">
        <v>71</v>
      </c>
      <c r="H10" s="1" t="s">
        <v>72</v>
      </c>
      <c r="I10" s="3">
        <v>2390</v>
      </c>
      <c r="J10" s="2"/>
      <c r="K10" s="2"/>
      <c r="L10" s="3"/>
      <c r="M10" s="1" t="e">
        <f t="shared" si="0"/>
        <v>#N/A</v>
      </c>
    </row>
    <row r="11" spans="1:13" x14ac:dyDescent="0.25">
      <c r="A11" s="1">
        <v>10</v>
      </c>
      <c r="B11" s="1">
        <v>2</v>
      </c>
      <c r="C11" s="1">
        <v>2</v>
      </c>
      <c r="D11" s="1" t="s">
        <v>75</v>
      </c>
      <c r="E11" s="1" t="s">
        <v>76</v>
      </c>
      <c r="F11" s="1">
        <v>10</v>
      </c>
      <c r="G11" s="1" t="s">
        <v>78</v>
      </c>
      <c r="H11" s="1" t="s">
        <v>79</v>
      </c>
      <c r="I11" s="3">
        <v>25000</v>
      </c>
      <c r="J11" s="2"/>
      <c r="K11" s="2"/>
      <c r="L11" s="3"/>
      <c r="M11" s="1" t="e">
        <f t="shared" si="0"/>
        <v>#N/A</v>
      </c>
    </row>
    <row r="12" spans="1:13" x14ac:dyDescent="0.25">
      <c r="A12" s="1">
        <v>11</v>
      </c>
      <c r="B12" s="1">
        <v>2</v>
      </c>
      <c r="C12" s="1">
        <v>2</v>
      </c>
      <c r="D12" s="1" t="s">
        <v>82</v>
      </c>
      <c r="E12" s="1" t="s">
        <v>83</v>
      </c>
      <c r="F12" s="1">
        <v>10</v>
      </c>
      <c r="G12" s="1" t="s">
        <v>84</v>
      </c>
      <c r="H12" s="1" t="s">
        <v>85</v>
      </c>
      <c r="I12" s="3">
        <v>15000</v>
      </c>
      <c r="J12" s="2"/>
      <c r="K12" s="2"/>
      <c r="L12" s="3"/>
      <c r="M12" s="1" t="e">
        <f t="shared" si="0"/>
        <v>#N/A</v>
      </c>
    </row>
    <row r="13" spans="1:13" x14ac:dyDescent="0.25">
      <c r="A13" s="1">
        <v>12</v>
      </c>
      <c r="B13" s="1">
        <v>2</v>
      </c>
      <c r="C13" s="1">
        <v>2</v>
      </c>
      <c r="D13" s="1" t="s">
        <v>87</v>
      </c>
      <c r="E13" s="1" t="s">
        <v>88</v>
      </c>
      <c r="F13" s="1">
        <v>11</v>
      </c>
      <c r="G13" s="1" t="s">
        <v>90</v>
      </c>
      <c r="H13" s="1" t="s">
        <v>91</v>
      </c>
      <c r="I13" s="3">
        <v>17000</v>
      </c>
      <c r="J13" s="2"/>
      <c r="K13" s="2"/>
      <c r="L13" s="3"/>
      <c r="M13" s="1" t="e">
        <f t="shared" si="0"/>
        <v>#N/A</v>
      </c>
    </row>
    <row r="14" spans="1:13" x14ac:dyDescent="0.25">
      <c r="A14" s="1">
        <v>13</v>
      </c>
      <c r="B14" s="1">
        <v>2</v>
      </c>
      <c r="C14" s="1">
        <v>3</v>
      </c>
      <c r="D14" s="1" t="s">
        <v>93</v>
      </c>
      <c r="E14" s="1" t="s">
        <v>94</v>
      </c>
      <c r="F14" s="1">
        <v>12</v>
      </c>
      <c r="G14" s="1" t="s">
        <v>96</v>
      </c>
      <c r="H14" s="1" t="s">
        <v>97</v>
      </c>
      <c r="I14" s="3">
        <v>7500</v>
      </c>
      <c r="J14" s="2"/>
      <c r="K14" s="2"/>
      <c r="L14" s="3"/>
      <c r="M14" s="1" t="e">
        <f t="shared" si="0"/>
        <v>#N/A</v>
      </c>
    </row>
    <row r="15" spans="1:13" x14ac:dyDescent="0.25">
      <c r="A15" s="1">
        <v>14</v>
      </c>
      <c r="B15" s="1">
        <v>2</v>
      </c>
      <c r="C15" s="1">
        <v>3</v>
      </c>
      <c r="D15" s="1" t="s">
        <v>99</v>
      </c>
      <c r="E15" s="1" t="s">
        <v>100</v>
      </c>
      <c r="F15" s="1">
        <v>13</v>
      </c>
      <c r="G15" s="1" t="s">
        <v>102</v>
      </c>
      <c r="H15" s="1" t="s">
        <v>103</v>
      </c>
      <c r="I15" s="3">
        <v>5600</v>
      </c>
      <c r="J15" s="2"/>
      <c r="K15" s="2"/>
      <c r="L15" s="3"/>
      <c r="M15" s="1" t="e">
        <f t="shared" si="0"/>
        <v>#N/A</v>
      </c>
    </row>
    <row r="16" spans="1:13" x14ac:dyDescent="0.25">
      <c r="A16" s="1">
        <v>15</v>
      </c>
      <c r="B16" s="1">
        <v>2</v>
      </c>
      <c r="C16" s="1">
        <v>3</v>
      </c>
      <c r="D16" s="1" t="s">
        <v>105</v>
      </c>
      <c r="E16" s="1" t="s">
        <v>106</v>
      </c>
      <c r="F16" s="1">
        <v>14</v>
      </c>
      <c r="G16" s="1" t="s">
        <v>108</v>
      </c>
      <c r="H16" s="1" t="s">
        <v>109</v>
      </c>
      <c r="I16" s="3">
        <v>7130</v>
      </c>
      <c r="J16" s="2"/>
      <c r="K16" s="2"/>
      <c r="L16" s="3"/>
      <c r="M16" s="1" t="e">
        <f t="shared" si="0"/>
        <v>#N/A</v>
      </c>
    </row>
    <row r="17" spans="1:13" x14ac:dyDescent="0.25">
      <c r="A17" s="1">
        <v>16</v>
      </c>
      <c r="B17" s="1">
        <v>2</v>
      </c>
      <c r="C17" s="1">
        <v>4</v>
      </c>
      <c r="D17" s="1" t="s">
        <v>111</v>
      </c>
      <c r="E17" s="1" t="s">
        <v>112</v>
      </c>
      <c r="F17" s="1">
        <v>14</v>
      </c>
      <c r="G17" s="1" t="s">
        <v>113</v>
      </c>
      <c r="H17" s="1" t="s">
        <v>114</v>
      </c>
      <c r="I17" s="3">
        <v>12340</v>
      </c>
      <c r="J17" s="2"/>
      <c r="K17" s="2"/>
      <c r="L17" s="3"/>
      <c r="M17" s="1" t="e">
        <f t="shared" si="0"/>
        <v>#N/A</v>
      </c>
    </row>
    <row r="18" spans="1:13" x14ac:dyDescent="0.25">
      <c r="A18" s="1">
        <v>17</v>
      </c>
      <c r="B18" s="1">
        <v>2</v>
      </c>
      <c r="C18" s="1">
        <v>4</v>
      </c>
      <c r="D18" s="1" t="s">
        <v>115</v>
      </c>
      <c r="E18" s="1" t="s">
        <v>116</v>
      </c>
      <c r="F18" s="1">
        <v>13</v>
      </c>
      <c r="G18" s="1" t="s">
        <v>117</v>
      </c>
      <c r="H18" s="1" t="s">
        <v>118</v>
      </c>
      <c r="I18" s="3">
        <v>7757</v>
      </c>
      <c r="J18" s="2"/>
      <c r="K18" s="2"/>
      <c r="L18" s="3"/>
      <c r="M18" s="1" t="e">
        <f t="shared" si="0"/>
        <v>#N/A</v>
      </c>
    </row>
    <row r="19" spans="1:13" x14ac:dyDescent="0.25">
      <c r="A19" s="1">
        <v>18</v>
      </c>
      <c r="B19" s="1">
        <v>2</v>
      </c>
      <c r="C19" s="1">
        <v>4</v>
      </c>
      <c r="D19" s="1" t="s">
        <v>120</v>
      </c>
      <c r="E19" s="1" t="s">
        <v>121</v>
      </c>
      <c r="F19" s="1">
        <v>12</v>
      </c>
      <c r="G19" s="1" t="s">
        <v>122</v>
      </c>
      <c r="H19" s="1" t="s">
        <v>123</v>
      </c>
      <c r="I19" s="3">
        <v>7550</v>
      </c>
      <c r="J19" s="2"/>
      <c r="K19" s="2"/>
      <c r="L19" s="3"/>
      <c r="M19" s="1" t="e">
        <f t="shared" si="0"/>
        <v>#N/A</v>
      </c>
    </row>
    <row r="20" spans="1:13" x14ac:dyDescent="0.25">
      <c r="A20" s="1">
        <v>19</v>
      </c>
      <c r="B20" s="1">
        <v>2</v>
      </c>
      <c r="C20" s="1">
        <v>1</v>
      </c>
      <c r="D20" s="1" t="s">
        <v>125</v>
      </c>
      <c r="E20" s="1" t="s">
        <v>126</v>
      </c>
      <c r="F20" s="1">
        <v>2</v>
      </c>
      <c r="G20" s="1" t="s">
        <v>127</v>
      </c>
      <c r="H20" s="1" t="s">
        <v>128</v>
      </c>
      <c r="I20" s="3">
        <v>9450</v>
      </c>
      <c r="J20" s="2"/>
      <c r="K20" s="2"/>
      <c r="L20" s="3"/>
      <c r="M20" s="1" t="e">
        <f t="shared" si="0"/>
        <v>#N/A</v>
      </c>
    </row>
    <row r="21" spans="1:13" x14ac:dyDescent="0.25">
      <c r="A21" s="1">
        <v>20</v>
      </c>
      <c r="B21" s="1">
        <v>2</v>
      </c>
      <c r="C21" s="1">
        <v>1</v>
      </c>
      <c r="D21" s="1" t="s">
        <v>130</v>
      </c>
      <c r="E21" s="1" t="s">
        <v>131</v>
      </c>
      <c r="F21" s="1">
        <v>2</v>
      </c>
      <c r="G21" s="1" t="s">
        <v>132</v>
      </c>
      <c r="H21" s="1" t="s">
        <v>133</v>
      </c>
      <c r="I21" s="3">
        <v>8565</v>
      </c>
      <c r="J21" s="2"/>
      <c r="K21" s="2"/>
      <c r="L21" s="3"/>
      <c r="M21" s="1" t="e">
        <f t="shared" si="0"/>
        <v>#N/A</v>
      </c>
    </row>
    <row r="22" spans="1:13" x14ac:dyDescent="0.25">
      <c r="A22" s="1">
        <v>21</v>
      </c>
      <c r="B22" s="1">
        <v>2</v>
      </c>
      <c r="C22" s="1">
        <v>1</v>
      </c>
      <c r="D22" s="1" t="s">
        <v>134</v>
      </c>
      <c r="E22" s="1" t="s">
        <v>135</v>
      </c>
      <c r="F22" s="1">
        <v>12</v>
      </c>
      <c r="G22" s="1" t="s">
        <v>136</v>
      </c>
      <c r="H22" s="1" t="s">
        <v>137</v>
      </c>
      <c r="I22" s="3">
        <v>8765</v>
      </c>
      <c r="J22" s="2"/>
      <c r="K22" s="2"/>
      <c r="L22" s="3"/>
      <c r="M22" s="1" t="e">
        <f t="shared" si="0"/>
        <v>#N/A</v>
      </c>
    </row>
    <row r="23" spans="1:13" x14ac:dyDescent="0.25">
      <c r="A23" s="1">
        <v>22</v>
      </c>
      <c r="B23" s="1">
        <v>2</v>
      </c>
      <c r="C23" s="1">
        <v>1</v>
      </c>
      <c r="D23" s="1" t="s">
        <v>138</v>
      </c>
      <c r="E23" s="1" t="s">
        <v>139</v>
      </c>
      <c r="F23" s="1">
        <v>12</v>
      </c>
      <c r="G23" s="1" t="s">
        <v>140</v>
      </c>
      <c r="H23" s="1" t="s">
        <v>141</v>
      </c>
      <c r="I23" s="3">
        <v>7795</v>
      </c>
      <c r="J23" s="2"/>
      <c r="K23" s="2"/>
      <c r="L23" s="3"/>
      <c r="M23" s="1" t="e">
        <f t="shared" si="0"/>
        <v>#N/A</v>
      </c>
    </row>
    <row r="24" spans="1:13" x14ac:dyDescent="0.25">
      <c r="A24" s="1">
        <v>23</v>
      </c>
      <c r="B24" s="1">
        <v>3</v>
      </c>
      <c r="C24" s="1">
        <v>1</v>
      </c>
      <c r="D24" s="1" t="s">
        <v>144</v>
      </c>
      <c r="E24" s="1" t="s">
        <v>145</v>
      </c>
      <c r="F24" s="1">
        <v>15</v>
      </c>
      <c r="G24" s="1" t="s">
        <v>147</v>
      </c>
      <c r="H24" s="1" t="s">
        <v>148</v>
      </c>
      <c r="I24" s="3">
        <v>6550</v>
      </c>
      <c r="J24" s="2"/>
      <c r="K24" s="2"/>
      <c r="L24" s="3"/>
      <c r="M24" s="1" t="e">
        <f t="shared" si="0"/>
        <v>#N/A</v>
      </c>
    </row>
    <row r="25" spans="1:13" x14ac:dyDescent="0.25">
      <c r="A25" s="1">
        <v>24</v>
      </c>
      <c r="B25" s="1">
        <v>3</v>
      </c>
      <c r="C25" s="1">
        <v>1</v>
      </c>
      <c r="D25" s="1" t="s">
        <v>149</v>
      </c>
      <c r="E25" s="1" t="s">
        <v>150</v>
      </c>
      <c r="F25" s="1">
        <v>15</v>
      </c>
      <c r="G25" s="1" t="s">
        <v>151</v>
      </c>
      <c r="H25" s="1" t="s">
        <v>152</v>
      </c>
      <c r="I25" s="3">
        <v>7890</v>
      </c>
      <c r="J25" s="2"/>
      <c r="K25" s="2"/>
      <c r="L25" s="3"/>
      <c r="M25" s="1" t="e">
        <f t="shared" si="0"/>
        <v>#N/A</v>
      </c>
    </row>
    <row r="26" spans="1:13" x14ac:dyDescent="0.25">
      <c r="A26" s="1">
        <v>25</v>
      </c>
      <c r="B26" s="1">
        <v>3</v>
      </c>
      <c r="C26" s="1">
        <v>1</v>
      </c>
      <c r="D26" s="1" t="s">
        <v>153</v>
      </c>
      <c r="E26" s="1" t="s">
        <v>11</v>
      </c>
      <c r="F26" s="1">
        <v>2</v>
      </c>
      <c r="G26" s="1" t="s">
        <v>154</v>
      </c>
      <c r="H26" s="1" t="s">
        <v>155</v>
      </c>
      <c r="I26" s="3">
        <v>9567</v>
      </c>
      <c r="J26" s="2"/>
      <c r="K26" s="2"/>
      <c r="L26" s="3"/>
      <c r="M26" s="1" t="e">
        <f t="shared" si="0"/>
        <v>#N/A</v>
      </c>
    </row>
    <row r="27" spans="1:13" x14ac:dyDescent="0.25">
      <c r="A27" s="1">
        <v>26</v>
      </c>
      <c r="B27" s="1">
        <v>3</v>
      </c>
      <c r="C27" s="1">
        <v>4</v>
      </c>
      <c r="D27" s="1" t="s">
        <v>158</v>
      </c>
      <c r="E27" s="1" t="s">
        <v>159</v>
      </c>
      <c r="F27" s="1">
        <v>10</v>
      </c>
      <c r="G27" s="1" t="s">
        <v>160</v>
      </c>
      <c r="H27" s="1" t="s">
        <v>161</v>
      </c>
      <c r="I27" s="3">
        <v>24569</v>
      </c>
      <c r="J27" s="2"/>
      <c r="K27" s="2"/>
      <c r="L27" s="3"/>
      <c r="M27" s="1" t="e">
        <f t="shared" si="0"/>
        <v>#N/A</v>
      </c>
    </row>
    <row r="28" spans="1:13" x14ac:dyDescent="0.25">
      <c r="A28" s="1">
        <v>27</v>
      </c>
      <c r="B28" s="1">
        <v>3</v>
      </c>
      <c r="C28" s="1">
        <v>4</v>
      </c>
      <c r="D28" s="1" t="s">
        <v>163</v>
      </c>
      <c r="E28" s="1" t="s">
        <v>164</v>
      </c>
      <c r="F28" s="1">
        <v>16</v>
      </c>
      <c r="G28" s="1" t="s">
        <v>166</v>
      </c>
      <c r="H28" s="1" t="s">
        <v>167</v>
      </c>
      <c r="I28" s="3">
        <v>10155</v>
      </c>
      <c r="J28" s="2"/>
      <c r="K28" s="2"/>
      <c r="L28" s="3"/>
      <c r="M28" s="1" t="e">
        <f t="shared" si="0"/>
        <v>#N/A</v>
      </c>
    </row>
    <row r="29" spans="1:13" x14ac:dyDescent="0.25">
      <c r="A29" s="1">
        <v>28</v>
      </c>
      <c r="B29" s="1">
        <v>3</v>
      </c>
      <c r="C29" s="1">
        <v>4</v>
      </c>
      <c r="D29" s="1" t="s">
        <v>170</v>
      </c>
      <c r="E29" s="1" t="s">
        <v>171</v>
      </c>
      <c r="F29" s="1">
        <v>16</v>
      </c>
      <c r="G29" s="1" t="s">
        <v>172</v>
      </c>
      <c r="H29" s="1" t="s">
        <v>173</v>
      </c>
      <c r="I29" s="3">
        <v>25625</v>
      </c>
      <c r="J29" s="2"/>
      <c r="K29" s="2"/>
      <c r="L29" s="3"/>
      <c r="M29" s="1" t="e">
        <f t="shared" si="0"/>
        <v>#N/A</v>
      </c>
    </row>
    <row r="30" spans="1:13" x14ac:dyDescent="0.25">
      <c r="A30" s="1">
        <v>29</v>
      </c>
      <c r="B30" s="1">
        <v>3</v>
      </c>
      <c r="C30" s="1">
        <v>5</v>
      </c>
      <c r="D30" s="1" t="s">
        <v>175</v>
      </c>
      <c r="E30" s="1" t="s">
        <v>176</v>
      </c>
      <c r="F30" s="1">
        <v>10</v>
      </c>
      <c r="G30" s="1" t="s">
        <v>177</v>
      </c>
      <c r="H30" s="1" t="s">
        <v>178</v>
      </c>
      <c r="I30" s="3">
        <v>21500</v>
      </c>
      <c r="J30" s="2"/>
      <c r="K30" s="2"/>
      <c r="L30" s="3"/>
      <c r="M30" s="1" t="e">
        <f t="shared" si="0"/>
        <v>#N/A</v>
      </c>
    </row>
    <row r="31" spans="1:13" x14ac:dyDescent="0.25">
      <c r="A31" s="1">
        <v>30</v>
      </c>
      <c r="B31" s="1">
        <v>3</v>
      </c>
      <c r="C31" s="1">
        <v>5</v>
      </c>
      <c r="D31" s="1" t="s">
        <v>181</v>
      </c>
      <c r="E31" s="1" t="s">
        <v>182</v>
      </c>
      <c r="F31" s="1">
        <v>13</v>
      </c>
      <c r="G31" s="1" t="s">
        <v>183</v>
      </c>
      <c r="H31" s="1" t="s">
        <v>184</v>
      </c>
      <c r="I31" s="3">
        <v>14567</v>
      </c>
      <c r="J31" s="2"/>
      <c r="K31" s="2"/>
      <c r="L31" s="3"/>
      <c r="M31" s="1" t="e">
        <f t="shared" si="0"/>
        <v>#N/A</v>
      </c>
    </row>
    <row r="32" spans="1:13" x14ac:dyDescent="0.25">
      <c r="A32" s="1">
        <v>31</v>
      </c>
      <c r="B32" s="1">
        <v>3</v>
      </c>
      <c r="C32" s="1">
        <v>5</v>
      </c>
      <c r="D32" s="1" t="s">
        <v>186</v>
      </c>
      <c r="E32" s="1" t="s">
        <v>187</v>
      </c>
      <c r="F32" s="1">
        <v>10</v>
      </c>
      <c r="G32" s="1" t="s">
        <v>188</v>
      </c>
      <c r="H32" s="1" t="s">
        <v>189</v>
      </c>
      <c r="I32" s="3">
        <v>15670</v>
      </c>
      <c r="J32" s="2"/>
      <c r="K32" s="2"/>
      <c r="L32" s="3"/>
      <c r="M32" s="1" t="e">
        <f t="shared" si="0"/>
        <v>#N/A</v>
      </c>
    </row>
    <row r="34" spans="1:16" x14ac:dyDescent="0.25">
      <c r="A34" s="1" t="s">
        <v>14</v>
      </c>
      <c r="B34">
        <v>1</v>
      </c>
      <c r="D34" s="1" t="s">
        <v>14</v>
      </c>
      <c r="E34" s="1">
        <f t="shared" ref="E34:E64" si="1">VLOOKUP(D34, $A$34:$B$49, 2, 0)</f>
        <v>1</v>
      </c>
      <c r="F34" s="1">
        <v>1</v>
      </c>
      <c r="H34" s="1" t="s">
        <v>315</v>
      </c>
      <c r="I34" s="1" t="s">
        <v>8</v>
      </c>
      <c r="J34" s="1" t="s">
        <v>9</v>
      </c>
      <c r="K34" s="5" t="s">
        <v>314</v>
      </c>
      <c r="M34" s="1" t="s">
        <v>315</v>
      </c>
      <c r="N34" s="1" t="s">
        <v>8</v>
      </c>
      <c r="O34" s="1" t="s">
        <v>9</v>
      </c>
      <c r="P34" s="1" t="s">
        <v>195</v>
      </c>
    </row>
    <row r="35" spans="1:16" x14ac:dyDescent="0.25">
      <c r="A35" s="1" t="s">
        <v>19</v>
      </c>
      <c r="B35">
        <v>2</v>
      </c>
      <c r="D35" s="1" t="s">
        <v>19</v>
      </c>
      <c r="E35" s="1">
        <f t="shared" si="1"/>
        <v>2</v>
      </c>
      <c r="F35" s="1">
        <v>2</v>
      </c>
      <c r="H35" s="1">
        <v>1</v>
      </c>
      <c r="I35" s="2" t="s">
        <v>17</v>
      </c>
      <c r="J35" s="2" t="s">
        <v>17</v>
      </c>
      <c r="K35" s="3">
        <v>20</v>
      </c>
      <c r="M35" s="1">
        <v>1</v>
      </c>
      <c r="N35" s="2" t="s">
        <v>17</v>
      </c>
      <c r="O35" s="2" t="s">
        <v>17</v>
      </c>
      <c r="P35" s="3">
        <v>20</v>
      </c>
    </row>
    <row r="36" spans="1:16" x14ac:dyDescent="0.25">
      <c r="A36" s="1" t="s">
        <v>26</v>
      </c>
      <c r="B36">
        <v>3</v>
      </c>
      <c r="D36" s="1" t="s">
        <v>26</v>
      </c>
      <c r="E36" s="1">
        <f t="shared" si="1"/>
        <v>3</v>
      </c>
      <c r="F36" s="1">
        <v>3</v>
      </c>
      <c r="M36" s="1">
        <v>2</v>
      </c>
      <c r="N36" s="2" t="s">
        <v>22</v>
      </c>
      <c r="O36" s="2" t="s">
        <v>23</v>
      </c>
      <c r="P36" s="3">
        <v>1</v>
      </c>
    </row>
    <row r="37" spans="1:16" x14ac:dyDescent="0.25">
      <c r="A37" s="1" t="s">
        <v>34</v>
      </c>
      <c r="B37">
        <v>4</v>
      </c>
      <c r="D37" s="1" t="s">
        <v>34</v>
      </c>
      <c r="E37" s="1">
        <f t="shared" si="1"/>
        <v>4</v>
      </c>
      <c r="F37" s="1">
        <v>4</v>
      </c>
      <c r="H37" s="1">
        <v>1</v>
      </c>
      <c r="I37" s="2" t="s">
        <v>302</v>
      </c>
      <c r="J37" s="3">
        <v>20</v>
      </c>
      <c r="M37" s="1">
        <v>3</v>
      </c>
      <c r="N37" s="2" t="s">
        <v>29</v>
      </c>
      <c r="O37" s="2" t="s">
        <v>30</v>
      </c>
      <c r="P37" s="3">
        <v>30</v>
      </c>
    </row>
    <row r="38" spans="1:16" x14ac:dyDescent="0.25">
      <c r="A38" s="1" t="s">
        <v>41</v>
      </c>
      <c r="B38">
        <v>5</v>
      </c>
      <c r="D38" s="1" t="s">
        <v>41</v>
      </c>
      <c r="E38" s="1">
        <f t="shared" si="1"/>
        <v>5</v>
      </c>
      <c r="F38" s="1">
        <v>5</v>
      </c>
      <c r="H38" s="1">
        <v>1</v>
      </c>
      <c r="I38" s="2" t="s">
        <v>303</v>
      </c>
      <c r="J38" s="3">
        <v>20</v>
      </c>
      <c r="M38" s="1">
        <v>4</v>
      </c>
      <c r="N38" s="2" t="s">
        <v>37</v>
      </c>
      <c r="O38" s="2" t="s">
        <v>38</v>
      </c>
      <c r="P38" s="3">
        <v>15</v>
      </c>
    </row>
    <row r="39" spans="1:16" x14ac:dyDescent="0.25">
      <c r="A39" s="1" t="s">
        <v>48</v>
      </c>
      <c r="B39">
        <v>6</v>
      </c>
      <c r="D39" s="1" t="s">
        <v>48</v>
      </c>
      <c r="E39" s="1">
        <f t="shared" si="1"/>
        <v>6</v>
      </c>
      <c r="F39" s="1">
        <v>6</v>
      </c>
      <c r="H39" s="1">
        <v>1</v>
      </c>
      <c r="I39" s="2" t="s">
        <v>304</v>
      </c>
      <c r="J39" s="3">
        <v>20</v>
      </c>
      <c r="M39" s="1">
        <v>5</v>
      </c>
      <c r="N39" s="2" t="s">
        <v>44</v>
      </c>
      <c r="O39" s="2" t="s">
        <v>45</v>
      </c>
      <c r="P39" s="3">
        <v>5</v>
      </c>
    </row>
    <row r="40" spans="1:16" x14ac:dyDescent="0.25">
      <c r="A40" s="1" t="s">
        <v>56</v>
      </c>
      <c r="B40">
        <v>7</v>
      </c>
      <c r="D40" s="1" t="s">
        <v>56</v>
      </c>
      <c r="E40" s="1">
        <f t="shared" si="1"/>
        <v>7</v>
      </c>
      <c r="F40" s="1">
        <v>7</v>
      </c>
      <c r="H40" s="1">
        <v>1</v>
      </c>
      <c r="I40" s="2" t="s">
        <v>305</v>
      </c>
      <c r="J40" s="3">
        <v>20</v>
      </c>
      <c r="M40" s="1">
        <v>6</v>
      </c>
      <c r="N40" s="2" t="s">
        <v>51</v>
      </c>
      <c r="O40" s="2" t="s">
        <v>52</v>
      </c>
      <c r="P40" s="3">
        <v>4</v>
      </c>
    </row>
    <row r="41" spans="1:16" x14ac:dyDescent="0.25">
      <c r="A41" s="1" t="s">
        <v>63</v>
      </c>
      <c r="B41">
        <v>8</v>
      </c>
      <c r="D41" s="1" t="s">
        <v>63</v>
      </c>
      <c r="E41" s="1">
        <f t="shared" si="1"/>
        <v>8</v>
      </c>
      <c r="F41" s="1">
        <v>8</v>
      </c>
      <c r="H41" s="1">
        <v>1</v>
      </c>
      <c r="I41" s="2" t="s">
        <v>306</v>
      </c>
      <c r="J41" s="3">
        <v>20</v>
      </c>
      <c r="M41" s="1">
        <v>7</v>
      </c>
      <c r="N41" s="2" t="s">
        <v>59</v>
      </c>
      <c r="O41" s="2" t="s">
        <v>60</v>
      </c>
      <c r="P41" s="3">
        <v>3</v>
      </c>
    </row>
    <row r="42" spans="1:16" x14ac:dyDescent="0.25">
      <c r="A42" s="1" t="s">
        <v>70</v>
      </c>
      <c r="B42">
        <v>9</v>
      </c>
      <c r="D42" s="1" t="s">
        <v>70</v>
      </c>
      <c r="E42" s="1">
        <f t="shared" si="1"/>
        <v>9</v>
      </c>
      <c r="F42" s="1">
        <v>9</v>
      </c>
      <c r="H42" s="1">
        <v>1</v>
      </c>
      <c r="I42" s="2" t="s">
        <v>307</v>
      </c>
      <c r="J42" s="3">
        <v>20</v>
      </c>
      <c r="M42" s="1">
        <v>8</v>
      </c>
      <c r="N42" s="2" t="s">
        <v>29</v>
      </c>
      <c r="O42" s="2" t="s">
        <v>66</v>
      </c>
      <c r="P42" s="3">
        <v>7</v>
      </c>
    </row>
    <row r="43" spans="1:16" x14ac:dyDescent="0.25">
      <c r="A43" s="1" t="s">
        <v>77</v>
      </c>
      <c r="B43">
        <v>10</v>
      </c>
      <c r="D43" s="1" t="s">
        <v>77</v>
      </c>
      <c r="E43" s="1">
        <f t="shared" si="1"/>
        <v>10</v>
      </c>
      <c r="F43" s="1">
        <v>10</v>
      </c>
      <c r="H43" s="1">
        <v>1</v>
      </c>
      <c r="I43" s="2" t="s">
        <v>308</v>
      </c>
      <c r="J43" s="3">
        <v>20</v>
      </c>
      <c r="M43" s="1">
        <v>9</v>
      </c>
      <c r="N43" s="2" t="s">
        <v>59</v>
      </c>
      <c r="O43" s="2" t="s">
        <v>73</v>
      </c>
      <c r="P43" s="3">
        <v>7</v>
      </c>
    </row>
    <row r="44" spans="1:16" x14ac:dyDescent="0.25">
      <c r="A44" s="1" t="s">
        <v>89</v>
      </c>
      <c r="B44">
        <v>11</v>
      </c>
      <c r="D44" s="1" t="s">
        <v>77</v>
      </c>
      <c r="E44" s="1">
        <f t="shared" si="1"/>
        <v>10</v>
      </c>
      <c r="F44" s="1">
        <v>10</v>
      </c>
      <c r="H44" s="1">
        <v>1</v>
      </c>
      <c r="I44" s="2" t="s">
        <v>309</v>
      </c>
      <c r="J44" s="3">
        <v>20</v>
      </c>
      <c r="M44" s="1">
        <v>10</v>
      </c>
      <c r="N44" s="2" t="s">
        <v>80</v>
      </c>
      <c r="O44" s="2" t="s">
        <v>81</v>
      </c>
      <c r="P44" s="3">
        <v>12</v>
      </c>
    </row>
    <row r="45" spans="1:16" x14ac:dyDescent="0.25">
      <c r="A45" s="1" t="s">
        <v>95</v>
      </c>
      <c r="B45">
        <v>12</v>
      </c>
      <c r="D45" s="1" t="s">
        <v>89</v>
      </c>
      <c r="E45" s="1">
        <f t="shared" si="1"/>
        <v>11</v>
      </c>
      <c r="F45" s="1">
        <v>11</v>
      </c>
      <c r="H45" s="1">
        <v>1</v>
      </c>
      <c r="I45" s="2" t="s">
        <v>310</v>
      </c>
      <c r="J45" s="3">
        <v>20</v>
      </c>
      <c r="M45" s="1">
        <v>11</v>
      </c>
      <c r="N45" s="2" t="s">
        <v>80</v>
      </c>
      <c r="O45" s="2" t="s">
        <v>86</v>
      </c>
      <c r="P45" s="3">
        <v>2</v>
      </c>
    </row>
    <row r="46" spans="1:16" x14ac:dyDescent="0.25">
      <c r="A46" s="1" t="s">
        <v>101</v>
      </c>
      <c r="B46">
        <v>13</v>
      </c>
      <c r="D46" s="1" t="s">
        <v>95</v>
      </c>
      <c r="E46" s="1">
        <f t="shared" si="1"/>
        <v>12</v>
      </c>
      <c r="F46" s="1">
        <v>12</v>
      </c>
      <c r="H46" s="1">
        <v>1</v>
      </c>
      <c r="I46" s="2" t="s">
        <v>311</v>
      </c>
      <c r="J46" s="1">
        <v>20</v>
      </c>
      <c r="M46" s="1">
        <v>12</v>
      </c>
      <c r="N46" s="2" t="s">
        <v>80</v>
      </c>
      <c r="O46" s="2" t="s">
        <v>92</v>
      </c>
      <c r="P46" s="3">
        <v>5</v>
      </c>
    </row>
    <row r="47" spans="1:16" x14ac:dyDescent="0.25">
      <c r="A47" s="1" t="s">
        <v>107</v>
      </c>
      <c r="B47">
        <v>14</v>
      </c>
      <c r="D47" s="1" t="s">
        <v>101</v>
      </c>
      <c r="E47" s="1">
        <f t="shared" si="1"/>
        <v>13</v>
      </c>
      <c r="F47" s="1">
        <v>13</v>
      </c>
      <c r="H47" s="1">
        <v>1</v>
      </c>
      <c r="I47" s="2" t="s">
        <v>312</v>
      </c>
      <c r="J47" s="1">
        <v>20</v>
      </c>
      <c r="M47" s="1">
        <v>13</v>
      </c>
      <c r="N47" s="2" t="s">
        <v>98</v>
      </c>
      <c r="O47" s="2" t="s">
        <v>98</v>
      </c>
      <c r="P47" s="3">
        <v>10</v>
      </c>
    </row>
    <row r="48" spans="1:16" x14ac:dyDescent="0.25">
      <c r="A48" s="1" t="s">
        <v>146</v>
      </c>
      <c r="B48">
        <v>15</v>
      </c>
      <c r="D48" s="1" t="s">
        <v>107</v>
      </c>
      <c r="E48" s="1">
        <f t="shared" si="1"/>
        <v>14</v>
      </c>
      <c r="F48" s="1">
        <v>14</v>
      </c>
      <c r="H48" s="1">
        <v>1</v>
      </c>
      <c r="I48" s="2" t="s">
        <v>313</v>
      </c>
      <c r="J48" s="1">
        <v>20</v>
      </c>
      <c r="M48" s="1">
        <v>14</v>
      </c>
      <c r="N48" s="2" t="s">
        <v>104</v>
      </c>
      <c r="O48" s="2">
        <v>35</v>
      </c>
      <c r="P48" s="3">
        <v>3</v>
      </c>
    </row>
    <row r="49" spans="1:16" x14ac:dyDescent="0.25">
      <c r="A49" s="1" t="s">
        <v>165</v>
      </c>
      <c r="B49">
        <v>16</v>
      </c>
      <c r="D49" s="1" t="s">
        <v>107</v>
      </c>
      <c r="E49" s="1">
        <f t="shared" si="1"/>
        <v>14</v>
      </c>
      <c r="F49" s="1">
        <v>14</v>
      </c>
      <c r="M49" s="1">
        <v>15</v>
      </c>
      <c r="N49" s="2" t="s">
        <v>98</v>
      </c>
      <c r="O49" s="2" t="s">
        <v>110</v>
      </c>
      <c r="P49" s="3">
        <v>23</v>
      </c>
    </row>
    <row r="50" spans="1:16" x14ac:dyDescent="0.25">
      <c r="D50" s="1" t="s">
        <v>101</v>
      </c>
      <c r="E50" s="1">
        <f t="shared" si="1"/>
        <v>13</v>
      </c>
      <c r="F50" s="1">
        <v>13</v>
      </c>
      <c r="H50" s="2" t="s">
        <v>22</v>
      </c>
      <c r="I50" s="2" t="s">
        <v>23</v>
      </c>
      <c r="M50" s="1">
        <v>16</v>
      </c>
      <c r="N50" s="2" t="s">
        <v>80</v>
      </c>
      <c r="O50" s="2" t="s">
        <v>80</v>
      </c>
      <c r="P50" s="3">
        <v>25</v>
      </c>
    </row>
    <row r="51" spans="1:16" x14ac:dyDescent="0.25">
      <c r="D51" s="1" t="s">
        <v>95</v>
      </c>
      <c r="E51" s="1">
        <f t="shared" si="1"/>
        <v>12</v>
      </c>
      <c r="F51" s="1">
        <v>12</v>
      </c>
      <c r="M51" s="1">
        <v>17</v>
      </c>
      <c r="N51" s="2" t="s">
        <v>98</v>
      </c>
      <c r="O51" s="2" t="s">
        <v>119</v>
      </c>
      <c r="P51" s="3">
        <v>2</v>
      </c>
    </row>
    <row r="52" spans="1:16" x14ac:dyDescent="0.25">
      <c r="D52" s="1" t="s">
        <v>19</v>
      </c>
      <c r="E52" s="1">
        <f t="shared" si="1"/>
        <v>2</v>
      </c>
      <c r="F52" s="1">
        <v>2</v>
      </c>
      <c r="H52" s="1">
        <v>2</v>
      </c>
      <c r="I52" s="1">
        <v>22</v>
      </c>
      <c r="J52" s="1">
        <v>0</v>
      </c>
      <c r="M52" s="1">
        <v>18</v>
      </c>
      <c r="N52" s="2" t="s">
        <v>124</v>
      </c>
      <c r="O52" s="2" t="s">
        <v>197</v>
      </c>
      <c r="P52" s="3">
        <v>9</v>
      </c>
    </row>
    <row r="53" spans="1:16" x14ac:dyDescent="0.25">
      <c r="D53" s="1" t="s">
        <v>19</v>
      </c>
      <c r="E53" s="1">
        <f t="shared" si="1"/>
        <v>2</v>
      </c>
      <c r="F53" s="1">
        <v>2</v>
      </c>
      <c r="H53" s="1">
        <v>2</v>
      </c>
      <c r="I53" s="1">
        <v>23</v>
      </c>
      <c r="J53" s="1">
        <v>0</v>
      </c>
      <c r="M53" s="1">
        <v>19</v>
      </c>
      <c r="N53" s="2" t="s">
        <v>191</v>
      </c>
      <c r="O53" s="2" t="s">
        <v>129</v>
      </c>
      <c r="P53" s="3">
        <v>3</v>
      </c>
    </row>
    <row r="54" spans="1:16" x14ac:dyDescent="0.25">
      <c r="D54" s="1" t="s">
        <v>95</v>
      </c>
      <c r="E54" s="1">
        <f t="shared" si="1"/>
        <v>12</v>
      </c>
      <c r="F54" s="1">
        <v>12</v>
      </c>
      <c r="H54" s="1">
        <v>2</v>
      </c>
      <c r="I54" s="1">
        <v>24</v>
      </c>
      <c r="J54" s="1">
        <v>0</v>
      </c>
      <c r="M54" s="1">
        <v>20</v>
      </c>
      <c r="N54" s="2" t="s">
        <v>191</v>
      </c>
      <c r="O54" s="2" t="s">
        <v>192</v>
      </c>
      <c r="P54" s="3">
        <v>5</v>
      </c>
    </row>
    <row r="55" spans="1:16" x14ac:dyDescent="0.25">
      <c r="D55" s="1" t="s">
        <v>95</v>
      </c>
      <c r="E55" s="1">
        <f t="shared" si="1"/>
        <v>12</v>
      </c>
      <c r="F55" s="1">
        <v>12</v>
      </c>
      <c r="H55" s="1">
        <v>2</v>
      </c>
      <c r="I55" s="1">
        <v>25</v>
      </c>
      <c r="J55" s="1">
        <v>0</v>
      </c>
      <c r="M55" s="1">
        <v>21</v>
      </c>
      <c r="N55" s="2" t="s">
        <v>124</v>
      </c>
      <c r="O55" s="2" t="s">
        <v>124</v>
      </c>
      <c r="P55" s="3">
        <v>16</v>
      </c>
    </row>
    <row r="56" spans="1:16" x14ac:dyDescent="0.25">
      <c r="D56" s="1" t="s">
        <v>146</v>
      </c>
      <c r="E56" s="1">
        <f t="shared" si="1"/>
        <v>15</v>
      </c>
      <c r="F56" s="1">
        <v>15</v>
      </c>
      <c r="H56" s="1">
        <v>2</v>
      </c>
      <c r="I56" s="1">
        <v>26</v>
      </c>
      <c r="J56" s="1">
        <v>0</v>
      </c>
      <c r="M56" s="1">
        <v>22</v>
      </c>
      <c r="N56" s="2" t="s">
        <v>191</v>
      </c>
      <c r="O56" s="2" t="s">
        <v>142</v>
      </c>
      <c r="P56" s="3">
        <v>3</v>
      </c>
    </row>
    <row r="57" spans="1:16" x14ac:dyDescent="0.25">
      <c r="D57" s="1" t="s">
        <v>146</v>
      </c>
      <c r="E57" s="1">
        <f t="shared" si="1"/>
        <v>15</v>
      </c>
      <c r="F57" s="1">
        <v>15</v>
      </c>
      <c r="H57" s="1">
        <v>2</v>
      </c>
      <c r="I57" s="1">
        <v>27</v>
      </c>
      <c r="J57" s="1">
        <v>0</v>
      </c>
      <c r="M57" s="1">
        <v>23</v>
      </c>
      <c r="N57" s="2" t="s">
        <v>196</v>
      </c>
      <c r="O57" s="2" t="s">
        <v>193</v>
      </c>
      <c r="P57" s="3">
        <v>18</v>
      </c>
    </row>
    <row r="58" spans="1:16" x14ac:dyDescent="0.25">
      <c r="D58" s="1" t="s">
        <v>19</v>
      </c>
      <c r="E58" s="1">
        <f t="shared" si="1"/>
        <v>2</v>
      </c>
      <c r="F58" s="1">
        <v>2</v>
      </c>
      <c r="H58" s="1">
        <v>2</v>
      </c>
      <c r="I58" s="1">
        <v>28</v>
      </c>
      <c r="J58" s="1">
        <v>0</v>
      </c>
      <c r="M58" s="1">
        <v>24</v>
      </c>
      <c r="N58" s="2" t="s">
        <v>194</v>
      </c>
      <c r="O58" s="2" t="s">
        <v>194</v>
      </c>
      <c r="P58" s="3">
        <v>50</v>
      </c>
    </row>
    <row r="59" spans="1:16" x14ac:dyDescent="0.25">
      <c r="D59" s="1" t="s">
        <v>77</v>
      </c>
      <c r="E59" s="1">
        <f t="shared" si="1"/>
        <v>10</v>
      </c>
      <c r="F59" s="1">
        <v>10</v>
      </c>
      <c r="H59" s="1">
        <v>2</v>
      </c>
      <c r="I59" s="1">
        <v>29</v>
      </c>
      <c r="J59" s="1">
        <v>0</v>
      </c>
      <c r="M59" s="1">
        <v>25</v>
      </c>
      <c r="N59" s="2" t="s">
        <v>156</v>
      </c>
      <c r="O59" s="2" t="s">
        <v>157</v>
      </c>
      <c r="P59" s="3">
        <v>1</v>
      </c>
    </row>
    <row r="60" spans="1:16" x14ac:dyDescent="0.25">
      <c r="D60" s="1" t="s">
        <v>165</v>
      </c>
      <c r="E60" s="1">
        <f t="shared" si="1"/>
        <v>16</v>
      </c>
      <c r="F60" s="1">
        <v>16</v>
      </c>
      <c r="H60" s="1">
        <v>2</v>
      </c>
      <c r="I60" s="1">
        <v>30</v>
      </c>
      <c r="J60" s="1">
        <v>0</v>
      </c>
      <c r="M60" s="1">
        <v>26</v>
      </c>
      <c r="N60" s="2" t="s">
        <v>162</v>
      </c>
      <c r="O60" s="2" t="s">
        <v>162</v>
      </c>
      <c r="P60" s="3">
        <v>23</v>
      </c>
    </row>
    <row r="61" spans="1:16" x14ac:dyDescent="0.25">
      <c r="D61" s="1" t="s">
        <v>165</v>
      </c>
      <c r="E61" s="1">
        <f t="shared" si="1"/>
        <v>16</v>
      </c>
      <c r="F61" s="1">
        <v>16</v>
      </c>
      <c r="H61" s="1">
        <v>2</v>
      </c>
      <c r="I61" s="1">
        <v>31</v>
      </c>
      <c r="J61" s="1">
        <v>0</v>
      </c>
      <c r="M61" s="1">
        <v>27</v>
      </c>
      <c r="N61" s="2" t="s">
        <v>168</v>
      </c>
      <c r="O61" s="2" t="s">
        <v>169</v>
      </c>
      <c r="P61" s="3">
        <v>15</v>
      </c>
    </row>
    <row r="62" spans="1:16" x14ac:dyDescent="0.25">
      <c r="D62" s="1" t="s">
        <v>77</v>
      </c>
      <c r="E62" s="1">
        <f t="shared" si="1"/>
        <v>10</v>
      </c>
      <c r="F62" s="1">
        <v>10</v>
      </c>
      <c r="H62" s="1">
        <v>2</v>
      </c>
      <c r="I62" s="1">
        <v>32</v>
      </c>
      <c r="J62" s="1">
        <v>0</v>
      </c>
      <c r="M62" s="1">
        <v>28</v>
      </c>
      <c r="N62" s="2" t="s">
        <v>156</v>
      </c>
      <c r="O62" s="2">
        <v>44</v>
      </c>
      <c r="P62" s="3">
        <v>2</v>
      </c>
    </row>
    <row r="63" spans="1:16" x14ac:dyDescent="0.25">
      <c r="D63" s="1" t="s">
        <v>101</v>
      </c>
      <c r="E63" s="1">
        <f t="shared" si="1"/>
        <v>13</v>
      </c>
      <c r="F63" s="1">
        <v>13</v>
      </c>
      <c r="H63" s="1">
        <v>2</v>
      </c>
      <c r="I63" s="1">
        <v>33</v>
      </c>
      <c r="J63" s="1">
        <v>1</v>
      </c>
      <c r="M63" s="1">
        <v>29</v>
      </c>
      <c r="N63" s="2" t="s">
        <v>179</v>
      </c>
      <c r="O63" s="2" t="s">
        <v>180</v>
      </c>
      <c r="P63" s="3">
        <v>3</v>
      </c>
    </row>
    <row r="64" spans="1:16" x14ac:dyDescent="0.25">
      <c r="D64" s="1" t="s">
        <v>77</v>
      </c>
      <c r="E64" s="1">
        <f t="shared" si="1"/>
        <v>10</v>
      </c>
      <c r="F64" s="1">
        <v>10</v>
      </c>
      <c r="H64" s="1">
        <v>2</v>
      </c>
      <c r="I64" s="1">
        <v>34</v>
      </c>
      <c r="J64" s="1">
        <v>1</v>
      </c>
      <c r="M64" s="1">
        <v>30</v>
      </c>
      <c r="N64" s="2" t="s">
        <v>179</v>
      </c>
      <c r="O64" s="2" t="s">
        <v>185</v>
      </c>
      <c r="P64" s="3">
        <v>20</v>
      </c>
    </row>
    <row r="65" spans="13:16" x14ac:dyDescent="0.25">
      <c r="M65" s="1">
        <v>31</v>
      </c>
      <c r="N65" s="2" t="s">
        <v>179</v>
      </c>
      <c r="O65" s="2" t="s">
        <v>190</v>
      </c>
      <c r="P65" s="3">
        <v>30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D1" sqref="D1:E21"/>
    </sheetView>
  </sheetViews>
  <sheetFormatPr defaultRowHeight="15" x14ac:dyDescent="0.25"/>
  <cols>
    <col min="1" max="5" width="17.42578125" customWidth="1"/>
  </cols>
  <sheetData>
    <row r="1" spans="1:8" x14ac:dyDescent="0.25">
      <c r="A1" t="s">
        <v>198</v>
      </c>
      <c r="B1" t="s">
        <v>199</v>
      </c>
      <c r="C1" t="s">
        <v>200</v>
      </c>
      <c r="D1" t="s">
        <v>201</v>
      </c>
      <c r="E1" t="s">
        <v>202</v>
      </c>
    </row>
    <row r="2" spans="1:8" x14ac:dyDescent="0.25">
      <c r="A2" t="s">
        <v>203</v>
      </c>
      <c r="B2" t="s">
        <v>204</v>
      </c>
      <c r="C2" t="s">
        <v>205</v>
      </c>
      <c r="D2" t="s">
        <v>206</v>
      </c>
      <c r="E2" t="s">
        <v>207</v>
      </c>
      <c r="H2" t="str">
        <f>CONCATENATE(A2, " ", B2, " ", C2)</f>
        <v>Иванов Иван Сергеевич</v>
      </c>
    </row>
    <row r="3" spans="1:8" x14ac:dyDescent="0.25">
      <c r="A3" t="s">
        <v>208</v>
      </c>
      <c r="B3" t="s">
        <v>209</v>
      </c>
      <c r="C3" t="s">
        <v>210</v>
      </c>
      <c r="D3" t="s">
        <v>211</v>
      </c>
      <c r="E3" t="s">
        <v>212</v>
      </c>
      <c r="H3" t="str">
        <f t="shared" ref="H3:H21" si="0">CONCATENATE(A3, " ", B3, " ", C3)</f>
        <v>Петров Пeтр Алексеевич</v>
      </c>
    </row>
    <row r="4" spans="1:8" x14ac:dyDescent="0.25">
      <c r="A4" t="s">
        <v>213</v>
      </c>
      <c r="B4" t="s">
        <v>214</v>
      </c>
      <c r="C4" t="s">
        <v>215</v>
      </c>
      <c r="D4" t="s">
        <v>216</v>
      </c>
      <c r="E4" t="s">
        <v>217</v>
      </c>
      <c r="H4" t="str">
        <f t="shared" si="0"/>
        <v>Сидорова Анна Дмитриевна</v>
      </c>
    </row>
    <row r="5" spans="1:8" x14ac:dyDescent="0.25">
      <c r="A5" t="s">
        <v>218</v>
      </c>
      <c r="B5" t="s">
        <v>219</v>
      </c>
      <c r="C5" t="s">
        <v>220</v>
      </c>
      <c r="D5" t="s">
        <v>221</v>
      </c>
      <c r="E5" t="s">
        <v>212</v>
      </c>
      <c r="H5" t="str">
        <f t="shared" si="0"/>
        <v>Кузнецова Екатерина Андреевна</v>
      </c>
    </row>
    <row r="6" spans="1:8" x14ac:dyDescent="0.25">
      <c r="A6" t="s">
        <v>222</v>
      </c>
      <c r="B6" t="s">
        <v>223</v>
      </c>
      <c r="C6" t="s">
        <v>224</v>
      </c>
      <c r="D6" t="s">
        <v>225</v>
      </c>
      <c r="E6" t="s">
        <v>217</v>
      </c>
      <c r="H6" t="str">
        <f t="shared" si="0"/>
        <v>Смирнов Дмитрий Владимирович</v>
      </c>
    </row>
    <row r="7" spans="1:8" x14ac:dyDescent="0.25">
      <c r="A7" t="s">
        <v>226</v>
      </c>
      <c r="B7" t="s">
        <v>227</v>
      </c>
      <c r="C7" t="s">
        <v>228</v>
      </c>
      <c r="D7" t="s">
        <v>229</v>
      </c>
      <c r="E7" t="s">
        <v>207</v>
      </c>
      <c r="H7" t="str">
        <f t="shared" si="0"/>
        <v>Попов Алексей Николаевич</v>
      </c>
    </row>
    <row r="8" spans="1:8" x14ac:dyDescent="0.25">
      <c r="A8" t="s">
        <v>230</v>
      </c>
      <c r="B8" t="s">
        <v>231</v>
      </c>
      <c r="C8" t="s">
        <v>232</v>
      </c>
      <c r="D8" t="s">
        <v>233</v>
      </c>
      <c r="E8" t="s">
        <v>217</v>
      </c>
      <c r="H8" t="str">
        <f t="shared" si="0"/>
        <v>Васильева Ольга Игоревна</v>
      </c>
    </row>
    <row r="9" spans="1:8" x14ac:dyDescent="0.25">
      <c r="A9" t="s">
        <v>234</v>
      </c>
      <c r="B9" t="s">
        <v>235</v>
      </c>
      <c r="C9" t="s">
        <v>236</v>
      </c>
      <c r="D9" t="s">
        <v>237</v>
      </c>
      <c r="E9" t="s">
        <v>212</v>
      </c>
      <c r="H9" t="str">
        <f t="shared" si="0"/>
        <v>Соколов Павел Викторович</v>
      </c>
    </row>
    <row r="10" spans="1:8" x14ac:dyDescent="0.25">
      <c r="A10" t="s">
        <v>238</v>
      </c>
      <c r="B10" t="s">
        <v>239</v>
      </c>
      <c r="C10" t="s">
        <v>240</v>
      </c>
      <c r="D10" t="s">
        <v>241</v>
      </c>
      <c r="E10" t="s">
        <v>217</v>
      </c>
      <c r="H10" t="str">
        <f t="shared" si="0"/>
        <v>Михайлова Татьяна Юрьевна</v>
      </c>
    </row>
    <row r="11" spans="1:8" x14ac:dyDescent="0.25">
      <c r="A11" t="s">
        <v>242</v>
      </c>
      <c r="B11" t="s">
        <v>243</v>
      </c>
      <c r="C11" t="s">
        <v>244</v>
      </c>
      <c r="D11" t="s">
        <v>245</v>
      </c>
      <c r="E11" t="s">
        <v>212</v>
      </c>
      <c r="H11" t="str">
        <f t="shared" si="0"/>
        <v>Новикова Наталья Сергеевна</v>
      </c>
    </row>
    <row r="12" spans="1:8" x14ac:dyDescent="0.25">
      <c r="A12" t="s">
        <v>246</v>
      </c>
      <c r="B12" t="s">
        <v>247</v>
      </c>
      <c r="C12" t="s">
        <v>248</v>
      </c>
      <c r="D12" t="s">
        <v>249</v>
      </c>
      <c r="E12" t="s">
        <v>207</v>
      </c>
      <c r="H12" t="str">
        <f t="shared" si="0"/>
        <v>Фёдоров Андрей Максимович</v>
      </c>
    </row>
    <row r="13" spans="1:8" x14ac:dyDescent="0.25">
      <c r="A13" t="s">
        <v>250</v>
      </c>
      <c r="B13" t="s">
        <v>251</v>
      </c>
      <c r="C13" t="s">
        <v>252</v>
      </c>
      <c r="D13" t="s">
        <v>253</v>
      </c>
      <c r="E13" t="s">
        <v>217</v>
      </c>
      <c r="H13" t="str">
        <f t="shared" si="0"/>
        <v>Морозов Сергей Павлович</v>
      </c>
    </row>
    <row r="14" spans="1:8" x14ac:dyDescent="0.25">
      <c r="A14" t="s">
        <v>254</v>
      </c>
      <c r="B14" t="s">
        <v>255</v>
      </c>
      <c r="C14" t="s">
        <v>256</v>
      </c>
      <c r="D14" t="s">
        <v>257</v>
      </c>
      <c r="E14" t="s">
        <v>212</v>
      </c>
      <c r="H14" t="str">
        <f t="shared" si="0"/>
        <v>Волкова Юлия Александровна</v>
      </c>
    </row>
    <row r="15" spans="1:8" x14ac:dyDescent="0.25">
      <c r="A15" t="s">
        <v>258</v>
      </c>
      <c r="B15" t="s">
        <v>259</v>
      </c>
      <c r="C15" t="s">
        <v>260</v>
      </c>
      <c r="D15" t="s">
        <v>261</v>
      </c>
      <c r="E15" t="s">
        <v>217</v>
      </c>
      <c r="H15" t="str">
        <f t="shared" si="0"/>
        <v>Алексеев Артём Евгеньевич</v>
      </c>
    </row>
    <row r="16" spans="1:8" x14ac:dyDescent="0.25">
      <c r="A16" t="s">
        <v>262</v>
      </c>
      <c r="B16" t="s">
        <v>263</v>
      </c>
      <c r="C16" t="s">
        <v>264</v>
      </c>
      <c r="D16" t="s">
        <v>265</v>
      </c>
      <c r="E16" t="s">
        <v>217</v>
      </c>
      <c r="H16" t="str">
        <f t="shared" si="0"/>
        <v>Лебедева Ирина Владимировна</v>
      </c>
    </row>
    <row r="17" spans="1:8" x14ac:dyDescent="0.25">
      <c r="A17" t="s">
        <v>266</v>
      </c>
      <c r="B17" t="s">
        <v>267</v>
      </c>
      <c r="C17" t="s">
        <v>268</v>
      </c>
      <c r="D17" t="s">
        <v>269</v>
      </c>
      <c r="E17" t="s">
        <v>212</v>
      </c>
      <c r="H17" t="str">
        <f t="shared" si="0"/>
        <v>Егоров Никита Денисович</v>
      </c>
    </row>
    <row r="18" spans="1:8" x14ac:dyDescent="0.25">
      <c r="A18" t="s">
        <v>270</v>
      </c>
      <c r="B18" t="s">
        <v>271</v>
      </c>
      <c r="C18" t="s">
        <v>272</v>
      </c>
      <c r="D18" t="s">
        <v>273</v>
      </c>
      <c r="E18" t="s">
        <v>217</v>
      </c>
      <c r="H18" t="str">
        <f t="shared" si="0"/>
        <v>Павлова Елена Петровна</v>
      </c>
    </row>
    <row r="19" spans="1:8" x14ac:dyDescent="0.25">
      <c r="A19" t="s">
        <v>274</v>
      </c>
      <c r="B19" t="s">
        <v>275</v>
      </c>
      <c r="C19" t="s">
        <v>276</v>
      </c>
      <c r="D19" t="s">
        <v>277</v>
      </c>
      <c r="E19" t="s">
        <v>207</v>
      </c>
      <c r="H19" t="str">
        <f t="shared" si="0"/>
        <v>Козлов Роман Олегович</v>
      </c>
    </row>
    <row r="20" spans="1:8" x14ac:dyDescent="0.25">
      <c r="A20" t="s">
        <v>278</v>
      </c>
      <c r="B20" t="s">
        <v>279</v>
      </c>
      <c r="C20" t="s">
        <v>280</v>
      </c>
      <c r="D20" t="s">
        <v>281</v>
      </c>
      <c r="E20" t="s">
        <v>212</v>
      </c>
      <c r="H20" t="str">
        <f t="shared" si="0"/>
        <v>Степанова Виктория Романовна</v>
      </c>
    </row>
    <row r="21" spans="1:8" x14ac:dyDescent="0.25">
      <c r="A21" t="s">
        <v>282</v>
      </c>
      <c r="B21" t="s">
        <v>283</v>
      </c>
      <c r="C21" t="s">
        <v>284</v>
      </c>
      <c r="D21" t="s">
        <v>285</v>
      </c>
      <c r="E21" t="s">
        <v>217</v>
      </c>
      <c r="H21" t="str">
        <f t="shared" si="0"/>
        <v>Николаев Владимир Иванович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E37" sqref="A1:XFD1048576"/>
    </sheetView>
  </sheetViews>
  <sheetFormatPr defaultRowHeight="15" x14ac:dyDescent="0.25"/>
  <cols>
    <col min="2" max="2" width="12.42578125" customWidth="1"/>
  </cols>
  <sheetData>
    <row r="1" spans="1:15" x14ac:dyDescent="0.25">
      <c r="A1" t="s">
        <v>286</v>
      </c>
      <c r="B1" t="s">
        <v>287</v>
      </c>
      <c r="C1" t="s">
        <v>288</v>
      </c>
      <c r="D1" t="s">
        <v>0</v>
      </c>
      <c r="E1" t="s">
        <v>3</v>
      </c>
      <c r="F1" t="s">
        <v>4</v>
      </c>
      <c r="G1" t="s">
        <v>289</v>
      </c>
      <c r="H1" t="s">
        <v>290</v>
      </c>
      <c r="I1" t="s">
        <v>291</v>
      </c>
    </row>
    <row r="2" spans="1:15" x14ac:dyDescent="0.25">
      <c r="A2">
        <v>1</v>
      </c>
      <c r="B2" s="4">
        <v>46113</v>
      </c>
      <c r="C2" t="s">
        <v>292</v>
      </c>
      <c r="D2" t="s">
        <v>10</v>
      </c>
      <c r="E2" t="s">
        <v>13</v>
      </c>
      <c r="F2" t="s">
        <v>14</v>
      </c>
      <c r="G2">
        <v>25</v>
      </c>
      <c r="H2">
        <v>1</v>
      </c>
      <c r="I2">
        <v>2190</v>
      </c>
      <c r="M2" t="s">
        <v>339</v>
      </c>
      <c r="N2">
        <v>1</v>
      </c>
      <c r="O2">
        <f>VLOOKUP(C2,$M$2:$N$21,2,0)</f>
        <v>3</v>
      </c>
    </row>
    <row r="3" spans="1:15" x14ac:dyDescent="0.25">
      <c r="A3">
        <v>1</v>
      </c>
      <c r="B3" s="4">
        <v>46113</v>
      </c>
      <c r="C3" t="s">
        <v>292</v>
      </c>
      <c r="D3" t="s">
        <v>10</v>
      </c>
      <c r="E3" t="s">
        <v>55</v>
      </c>
      <c r="F3" t="s">
        <v>56</v>
      </c>
      <c r="G3">
        <v>23</v>
      </c>
      <c r="H3">
        <v>2</v>
      </c>
      <c r="I3">
        <v>2790</v>
      </c>
      <c r="M3" t="s">
        <v>340</v>
      </c>
      <c r="N3">
        <v>2</v>
      </c>
      <c r="O3">
        <f t="shared" ref="O3:O31" si="0">VLOOKUP(C3,$M$2:$N$21,2,0)</f>
        <v>3</v>
      </c>
    </row>
    <row r="4" spans="1:15" x14ac:dyDescent="0.25">
      <c r="A4">
        <v>2</v>
      </c>
      <c r="B4" s="4">
        <v>46114</v>
      </c>
      <c r="C4" t="s">
        <v>293</v>
      </c>
      <c r="D4" t="s">
        <v>10</v>
      </c>
      <c r="E4" t="s">
        <v>18</v>
      </c>
      <c r="F4" t="s">
        <v>19</v>
      </c>
      <c r="G4">
        <v>34</v>
      </c>
      <c r="H4">
        <v>1</v>
      </c>
      <c r="I4">
        <v>2490</v>
      </c>
      <c r="M4" t="s">
        <v>292</v>
      </c>
      <c r="N4">
        <v>3</v>
      </c>
      <c r="O4">
        <f t="shared" si="0"/>
        <v>5</v>
      </c>
    </row>
    <row r="5" spans="1:15" x14ac:dyDescent="0.25">
      <c r="A5">
        <v>2</v>
      </c>
      <c r="B5" s="4">
        <v>46114</v>
      </c>
      <c r="C5" t="s">
        <v>293</v>
      </c>
      <c r="D5" t="s">
        <v>10</v>
      </c>
      <c r="E5" t="s">
        <v>33</v>
      </c>
      <c r="F5" t="s">
        <v>34</v>
      </c>
      <c r="G5">
        <v>26</v>
      </c>
      <c r="H5">
        <v>1</v>
      </c>
      <c r="I5">
        <v>3490</v>
      </c>
      <c r="M5" t="s">
        <v>341</v>
      </c>
      <c r="N5">
        <v>4</v>
      </c>
      <c r="O5">
        <f t="shared" si="0"/>
        <v>5</v>
      </c>
    </row>
    <row r="6" spans="1:15" x14ac:dyDescent="0.25">
      <c r="A6">
        <v>2</v>
      </c>
      <c r="B6" s="4">
        <v>46114</v>
      </c>
      <c r="C6" t="s">
        <v>293</v>
      </c>
      <c r="D6" t="s">
        <v>10</v>
      </c>
      <c r="E6" t="s">
        <v>69</v>
      </c>
      <c r="F6" t="s">
        <v>70</v>
      </c>
      <c r="G6">
        <v>22</v>
      </c>
      <c r="H6">
        <v>1</v>
      </c>
      <c r="I6">
        <v>2390</v>
      </c>
      <c r="M6" t="s">
        <v>293</v>
      </c>
      <c r="N6">
        <v>5</v>
      </c>
      <c r="O6">
        <f t="shared" si="0"/>
        <v>5</v>
      </c>
    </row>
    <row r="7" spans="1:15" x14ac:dyDescent="0.25">
      <c r="A7">
        <v>3</v>
      </c>
      <c r="B7" s="4">
        <v>46115</v>
      </c>
      <c r="C7" t="s">
        <v>294</v>
      </c>
      <c r="D7" t="s">
        <v>10</v>
      </c>
      <c r="E7" t="s">
        <v>25</v>
      </c>
      <c r="F7" t="s">
        <v>26</v>
      </c>
      <c r="G7">
        <v>20</v>
      </c>
      <c r="H7">
        <v>1</v>
      </c>
      <c r="I7">
        <v>1990</v>
      </c>
      <c r="M7" t="s">
        <v>342</v>
      </c>
      <c r="N7">
        <v>6</v>
      </c>
      <c r="O7">
        <f t="shared" si="0"/>
        <v>7</v>
      </c>
    </row>
    <row r="8" spans="1:15" x14ac:dyDescent="0.25">
      <c r="A8">
        <v>3</v>
      </c>
      <c r="B8" s="4">
        <v>46115</v>
      </c>
      <c r="C8" t="s">
        <v>294</v>
      </c>
      <c r="D8" t="s">
        <v>10</v>
      </c>
      <c r="E8" t="s">
        <v>62</v>
      </c>
      <c r="F8" t="s">
        <v>63</v>
      </c>
      <c r="G8">
        <v>28</v>
      </c>
      <c r="H8">
        <v>2</v>
      </c>
      <c r="I8">
        <v>1690</v>
      </c>
      <c r="M8" t="s">
        <v>294</v>
      </c>
      <c r="N8">
        <v>7</v>
      </c>
      <c r="O8">
        <f t="shared" si="0"/>
        <v>7</v>
      </c>
    </row>
    <row r="9" spans="1:15" x14ac:dyDescent="0.25">
      <c r="A9">
        <v>4</v>
      </c>
      <c r="B9" s="4">
        <v>46115</v>
      </c>
      <c r="C9" t="s">
        <v>295</v>
      </c>
      <c r="D9" t="s">
        <v>10</v>
      </c>
      <c r="E9" t="s">
        <v>47</v>
      </c>
      <c r="F9" t="s">
        <v>48</v>
      </c>
      <c r="G9">
        <v>28</v>
      </c>
      <c r="H9">
        <v>1</v>
      </c>
      <c r="I9">
        <v>4290</v>
      </c>
      <c r="M9" t="s">
        <v>343</v>
      </c>
      <c r="N9">
        <v>8</v>
      </c>
      <c r="O9">
        <f t="shared" si="0"/>
        <v>9</v>
      </c>
    </row>
    <row r="10" spans="1:15" x14ac:dyDescent="0.25">
      <c r="A10">
        <v>4</v>
      </c>
      <c r="B10" s="4">
        <v>46115</v>
      </c>
      <c r="C10" t="s">
        <v>295</v>
      </c>
      <c r="D10" t="s">
        <v>10</v>
      </c>
      <c r="E10" t="s">
        <v>40</v>
      </c>
      <c r="F10" t="s">
        <v>41</v>
      </c>
      <c r="G10">
        <v>26</v>
      </c>
      <c r="H10">
        <v>1</v>
      </c>
      <c r="I10">
        <v>3190</v>
      </c>
      <c r="M10" t="s">
        <v>295</v>
      </c>
      <c r="N10">
        <v>9</v>
      </c>
      <c r="O10">
        <f t="shared" si="0"/>
        <v>9</v>
      </c>
    </row>
    <row r="11" spans="1:15" x14ac:dyDescent="0.25">
      <c r="A11">
        <v>4</v>
      </c>
      <c r="B11" s="4">
        <v>46115</v>
      </c>
      <c r="C11" t="s">
        <v>295</v>
      </c>
      <c r="D11" t="s">
        <v>10</v>
      </c>
      <c r="E11" t="s">
        <v>69</v>
      </c>
      <c r="F11" t="s">
        <v>70</v>
      </c>
      <c r="G11">
        <v>21</v>
      </c>
      <c r="H11">
        <v>1</v>
      </c>
      <c r="I11">
        <v>2390</v>
      </c>
      <c r="M11" t="s">
        <v>344</v>
      </c>
      <c r="N11">
        <v>10</v>
      </c>
      <c r="O11">
        <f t="shared" si="0"/>
        <v>9</v>
      </c>
    </row>
    <row r="12" spans="1:15" x14ac:dyDescent="0.25">
      <c r="A12">
        <v>5</v>
      </c>
      <c r="B12" s="4">
        <v>46115</v>
      </c>
      <c r="C12" t="s">
        <v>296</v>
      </c>
      <c r="D12" t="s">
        <v>74</v>
      </c>
      <c r="E12" t="s">
        <v>76</v>
      </c>
      <c r="F12" t="s">
        <v>77</v>
      </c>
      <c r="G12">
        <v>37</v>
      </c>
      <c r="H12">
        <v>1</v>
      </c>
      <c r="I12">
        <v>25000</v>
      </c>
      <c r="M12" t="s">
        <v>345</v>
      </c>
      <c r="N12">
        <v>11</v>
      </c>
      <c r="O12">
        <f t="shared" si="0"/>
        <v>12</v>
      </c>
    </row>
    <row r="13" spans="1:15" x14ac:dyDescent="0.25">
      <c r="A13">
        <v>5</v>
      </c>
      <c r="B13" s="4">
        <v>46115</v>
      </c>
      <c r="C13" t="s">
        <v>296</v>
      </c>
      <c r="D13" t="s">
        <v>143</v>
      </c>
      <c r="E13" t="s">
        <v>176</v>
      </c>
      <c r="F13" t="s">
        <v>77</v>
      </c>
      <c r="G13">
        <v>42</v>
      </c>
      <c r="H13">
        <v>1</v>
      </c>
      <c r="I13">
        <v>21500</v>
      </c>
      <c r="M13" t="s">
        <v>296</v>
      </c>
      <c r="N13">
        <v>12</v>
      </c>
      <c r="O13">
        <f t="shared" si="0"/>
        <v>12</v>
      </c>
    </row>
    <row r="14" spans="1:15" x14ac:dyDescent="0.25">
      <c r="A14">
        <v>6</v>
      </c>
      <c r="B14" s="4">
        <v>46146</v>
      </c>
      <c r="C14" t="s">
        <v>297</v>
      </c>
      <c r="D14" t="s">
        <v>143</v>
      </c>
      <c r="E14" t="s">
        <v>11</v>
      </c>
      <c r="F14" t="s">
        <v>19</v>
      </c>
      <c r="G14">
        <v>42</v>
      </c>
      <c r="H14">
        <v>2</v>
      </c>
      <c r="I14">
        <v>9567</v>
      </c>
      <c r="M14" t="s">
        <v>346</v>
      </c>
      <c r="N14">
        <v>13</v>
      </c>
      <c r="O14">
        <f t="shared" si="0"/>
        <v>14</v>
      </c>
    </row>
    <row r="15" spans="1:15" x14ac:dyDescent="0.25">
      <c r="A15">
        <v>6</v>
      </c>
      <c r="B15" s="4">
        <v>46146</v>
      </c>
      <c r="C15" t="s">
        <v>297</v>
      </c>
      <c r="D15" t="s">
        <v>143</v>
      </c>
      <c r="E15" t="s">
        <v>164</v>
      </c>
      <c r="F15" t="s">
        <v>165</v>
      </c>
      <c r="G15">
        <v>43</v>
      </c>
      <c r="H15">
        <v>1</v>
      </c>
      <c r="I15">
        <v>10155</v>
      </c>
      <c r="M15" t="s">
        <v>297</v>
      </c>
      <c r="N15">
        <v>14</v>
      </c>
      <c r="O15">
        <f t="shared" si="0"/>
        <v>14</v>
      </c>
    </row>
    <row r="16" spans="1:15" x14ac:dyDescent="0.25">
      <c r="A16">
        <v>6</v>
      </c>
      <c r="B16" s="4">
        <v>46146</v>
      </c>
      <c r="C16" t="s">
        <v>297</v>
      </c>
      <c r="D16" t="s">
        <v>143</v>
      </c>
      <c r="E16" t="s">
        <v>298</v>
      </c>
      <c r="F16" t="s">
        <v>146</v>
      </c>
      <c r="G16">
        <v>42</v>
      </c>
      <c r="H16">
        <v>1</v>
      </c>
      <c r="I16">
        <v>7890</v>
      </c>
      <c r="M16" t="s">
        <v>299</v>
      </c>
      <c r="N16">
        <v>15</v>
      </c>
      <c r="O16">
        <f t="shared" si="0"/>
        <v>14</v>
      </c>
    </row>
    <row r="17" spans="1:15" x14ac:dyDescent="0.25">
      <c r="A17">
        <v>7</v>
      </c>
      <c r="B17" s="4">
        <v>46147</v>
      </c>
      <c r="C17" t="s">
        <v>299</v>
      </c>
      <c r="D17" t="s">
        <v>74</v>
      </c>
      <c r="E17" t="s">
        <v>106</v>
      </c>
      <c r="F17" t="s">
        <v>107</v>
      </c>
      <c r="G17">
        <v>38</v>
      </c>
      <c r="H17">
        <v>1</v>
      </c>
      <c r="I17">
        <v>7130</v>
      </c>
      <c r="M17" t="s">
        <v>347</v>
      </c>
      <c r="N17">
        <v>16</v>
      </c>
      <c r="O17">
        <f t="shared" si="0"/>
        <v>15</v>
      </c>
    </row>
    <row r="18" spans="1:15" x14ac:dyDescent="0.25">
      <c r="A18">
        <v>7</v>
      </c>
      <c r="B18" s="4">
        <v>46147</v>
      </c>
      <c r="C18" t="s">
        <v>299</v>
      </c>
      <c r="D18" t="s">
        <v>74</v>
      </c>
      <c r="E18" t="s">
        <v>112</v>
      </c>
      <c r="F18" t="s">
        <v>107</v>
      </c>
      <c r="G18">
        <v>37</v>
      </c>
      <c r="H18">
        <v>1</v>
      </c>
      <c r="I18">
        <v>12340</v>
      </c>
      <c r="M18" t="s">
        <v>300</v>
      </c>
      <c r="N18">
        <v>17</v>
      </c>
      <c r="O18">
        <f t="shared" si="0"/>
        <v>15</v>
      </c>
    </row>
    <row r="19" spans="1:15" x14ac:dyDescent="0.25">
      <c r="A19">
        <v>7</v>
      </c>
      <c r="B19" s="4">
        <v>46147</v>
      </c>
      <c r="C19" t="s">
        <v>299</v>
      </c>
      <c r="D19" t="s">
        <v>74</v>
      </c>
      <c r="E19" t="s">
        <v>88</v>
      </c>
      <c r="F19" t="s">
        <v>89</v>
      </c>
      <c r="G19">
        <v>39</v>
      </c>
      <c r="H19">
        <v>1</v>
      </c>
      <c r="I19">
        <v>17000</v>
      </c>
      <c r="M19" t="s">
        <v>348</v>
      </c>
      <c r="N19">
        <v>18</v>
      </c>
      <c r="O19">
        <f t="shared" si="0"/>
        <v>15</v>
      </c>
    </row>
    <row r="20" spans="1:15" x14ac:dyDescent="0.25">
      <c r="A20">
        <v>7</v>
      </c>
      <c r="B20" s="4">
        <v>46147</v>
      </c>
      <c r="C20" t="s">
        <v>299</v>
      </c>
      <c r="D20" t="s">
        <v>74</v>
      </c>
      <c r="E20" t="s">
        <v>94</v>
      </c>
      <c r="F20" t="s">
        <v>95</v>
      </c>
      <c r="G20">
        <v>37</v>
      </c>
      <c r="H20">
        <v>1</v>
      </c>
      <c r="I20">
        <v>7500</v>
      </c>
      <c r="M20" t="s">
        <v>349</v>
      </c>
      <c r="N20">
        <v>19</v>
      </c>
      <c r="O20">
        <f t="shared" si="0"/>
        <v>15</v>
      </c>
    </row>
    <row r="21" spans="1:15" x14ac:dyDescent="0.25">
      <c r="A21">
        <v>7</v>
      </c>
      <c r="B21" s="4">
        <v>46147</v>
      </c>
      <c r="C21" t="s">
        <v>299</v>
      </c>
      <c r="D21" t="s">
        <v>74</v>
      </c>
      <c r="E21" t="s">
        <v>135</v>
      </c>
      <c r="F21" t="s">
        <v>95</v>
      </c>
      <c r="G21">
        <v>38</v>
      </c>
      <c r="H21">
        <v>2</v>
      </c>
      <c r="I21">
        <v>8765</v>
      </c>
      <c r="M21" t="s">
        <v>301</v>
      </c>
      <c r="N21">
        <v>20</v>
      </c>
      <c r="O21">
        <f t="shared" si="0"/>
        <v>15</v>
      </c>
    </row>
    <row r="22" spans="1:15" x14ac:dyDescent="0.25">
      <c r="A22">
        <v>8</v>
      </c>
      <c r="B22" s="4">
        <v>46149</v>
      </c>
      <c r="C22" t="s">
        <v>300</v>
      </c>
      <c r="D22" t="s">
        <v>74</v>
      </c>
      <c r="E22" t="s">
        <v>121</v>
      </c>
      <c r="F22" t="s">
        <v>95</v>
      </c>
      <c r="G22">
        <v>39</v>
      </c>
      <c r="H22">
        <v>1</v>
      </c>
      <c r="I22">
        <v>7550</v>
      </c>
      <c r="O22">
        <f t="shared" si="0"/>
        <v>17</v>
      </c>
    </row>
    <row r="23" spans="1:15" x14ac:dyDescent="0.25">
      <c r="A23">
        <v>8</v>
      </c>
      <c r="B23" s="4">
        <v>46149</v>
      </c>
      <c r="C23" t="s">
        <v>300</v>
      </c>
      <c r="D23" t="s">
        <v>74</v>
      </c>
      <c r="E23" t="s">
        <v>139</v>
      </c>
      <c r="F23" t="s">
        <v>95</v>
      </c>
      <c r="G23">
        <v>38</v>
      </c>
      <c r="H23">
        <v>1</v>
      </c>
      <c r="I23">
        <v>7795</v>
      </c>
      <c r="O23">
        <f t="shared" si="0"/>
        <v>17</v>
      </c>
    </row>
    <row r="24" spans="1:15" x14ac:dyDescent="0.25">
      <c r="A24">
        <v>8</v>
      </c>
      <c r="B24" s="4">
        <v>46149</v>
      </c>
      <c r="C24" t="s">
        <v>300</v>
      </c>
      <c r="D24" t="s">
        <v>74</v>
      </c>
      <c r="E24" t="s">
        <v>83</v>
      </c>
      <c r="F24" t="s">
        <v>77</v>
      </c>
      <c r="G24">
        <v>40</v>
      </c>
      <c r="H24">
        <v>1</v>
      </c>
      <c r="I24">
        <v>15000</v>
      </c>
      <c r="O24">
        <f t="shared" si="0"/>
        <v>17</v>
      </c>
    </row>
    <row r="25" spans="1:15" x14ac:dyDescent="0.25">
      <c r="A25">
        <v>9</v>
      </c>
      <c r="B25" s="4">
        <v>46150</v>
      </c>
      <c r="C25" t="s">
        <v>301</v>
      </c>
      <c r="D25" t="s">
        <v>143</v>
      </c>
      <c r="E25" t="s">
        <v>298</v>
      </c>
      <c r="F25" t="s">
        <v>146</v>
      </c>
      <c r="G25">
        <v>42</v>
      </c>
      <c r="H25">
        <v>1</v>
      </c>
      <c r="I25">
        <v>7890</v>
      </c>
      <c r="O25">
        <f t="shared" si="0"/>
        <v>20</v>
      </c>
    </row>
    <row r="26" spans="1:15" x14ac:dyDescent="0.25">
      <c r="A26">
        <v>9</v>
      </c>
      <c r="B26" s="4">
        <v>46150</v>
      </c>
      <c r="C26" t="s">
        <v>301</v>
      </c>
      <c r="D26" t="s">
        <v>143</v>
      </c>
      <c r="E26" t="s">
        <v>182</v>
      </c>
      <c r="F26" t="s">
        <v>101</v>
      </c>
      <c r="G26">
        <v>42</v>
      </c>
      <c r="H26">
        <v>1</v>
      </c>
      <c r="I26">
        <v>14567</v>
      </c>
      <c r="O26">
        <f t="shared" si="0"/>
        <v>20</v>
      </c>
    </row>
    <row r="27" spans="1:15" x14ac:dyDescent="0.25">
      <c r="A27">
        <v>9</v>
      </c>
      <c r="B27" s="4">
        <v>46150</v>
      </c>
      <c r="C27" t="s">
        <v>301</v>
      </c>
      <c r="D27" t="s">
        <v>143</v>
      </c>
      <c r="E27" t="s">
        <v>187</v>
      </c>
      <c r="F27" t="s">
        <v>77</v>
      </c>
      <c r="G27">
        <v>44</v>
      </c>
      <c r="H27">
        <v>1</v>
      </c>
      <c r="I27">
        <v>15670</v>
      </c>
      <c r="O27">
        <f t="shared" si="0"/>
        <v>20</v>
      </c>
    </row>
    <row r="28" spans="1:15" x14ac:dyDescent="0.25">
      <c r="A28">
        <v>9</v>
      </c>
      <c r="B28" s="4">
        <v>46150</v>
      </c>
      <c r="C28" t="s">
        <v>301</v>
      </c>
      <c r="D28" t="s">
        <v>143</v>
      </c>
      <c r="E28" t="s">
        <v>159</v>
      </c>
      <c r="F28" t="s">
        <v>77</v>
      </c>
      <c r="G28">
        <v>43</v>
      </c>
      <c r="H28">
        <v>1</v>
      </c>
      <c r="I28">
        <v>24569</v>
      </c>
      <c r="O28">
        <f t="shared" si="0"/>
        <v>20</v>
      </c>
    </row>
    <row r="29" spans="1:15" x14ac:dyDescent="0.25">
      <c r="A29">
        <v>10</v>
      </c>
      <c r="B29" s="4">
        <v>46150</v>
      </c>
      <c r="C29" t="s">
        <v>300</v>
      </c>
      <c r="D29" t="s">
        <v>10</v>
      </c>
      <c r="E29" t="s">
        <v>69</v>
      </c>
      <c r="F29" t="s">
        <v>70</v>
      </c>
      <c r="G29">
        <v>21</v>
      </c>
      <c r="H29">
        <v>1</v>
      </c>
      <c r="I29">
        <v>2390</v>
      </c>
      <c r="O29">
        <f t="shared" si="0"/>
        <v>17</v>
      </c>
    </row>
    <row r="30" spans="1:15" x14ac:dyDescent="0.25">
      <c r="A30">
        <v>10</v>
      </c>
      <c r="B30" s="4">
        <v>46150</v>
      </c>
      <c r="C30" t="s">
        <v>300</v>
      </c>
      <c r="D30" t="s">
        <v>74</v>
      </c>
      <c r="E30" t="s">
        <v>112</v>
      </c>
      <c r="F30" t="s">
        <v>107</v>
      </c>
      <c r="G30">
        <v>39</v>
      </c>
      <c r="H30">
        <v>1</v>
      </c>
      <c r="I30">
        <v>12340</v>
      </c>
      <c r="O30">
        <f t="shared" si="0"/>
        <v>17</v>
      </c>
    </row>
    <row r="31" spans="1:15" x14ac:dyDescent="0.25">
      <c r="A31">
        <v>10</v>
      </c>
      <c r="B31" s="4">
        <v>46150</v>
      </c>
      <c r="C31" t="s">
        <v>300</v>
      </c>
      <c r="D31" t="s">
        <v>74</v>
      </c>
      <c r="E31" t="s">
        <v>88</v>
      </c>
      <c r="F31" t="s">
        <v>89</v>
      </c>
      <c r="G31">
        <v>39</v>
      </c>
      <c r="H31">
        <v>1</v>
      </c>
      <c r="I31">
        <v>17000</v>
      </c>
      <c r="O31">
        <f t="shared" si="0"/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C18" sqref="C18"/>
    </sheetView>
  </sheetViews>
  <sheetFormatPr defaultRowHeight="15" x14ac:dyDescent="0.25"/>
  <cols>
    <col min="1" max="1" width="15.5703125" customWidth="1"/>
    <col min="2" max="2" width="25.85546875" customWidth="1"/>
  </cols>
  <sheetData>
    <row r="1" spans="1:2" x14ac:dyDescent="0.25">
      <c r="A1" t="s">
        <v>350</v>
      </c>
      <c r="B1" t="s">
        <v>351</v>
      </c>
    </row>
    <row r="2" spans="1:2" ht="15.75" x14ac:dyDescent="0.25">
      <c r="A2">
        <v>1</v>
      </c>
      <c r="B2" s="1" t="s">
        <v>14</v>
      </c>
    </row>
    <row r="3" spans="1:2" ht="15.75" x14ac:dyDescent="0.25">
      <c r="A3">
        <v>2</v>
      </c>
      <c r="B3" s="1" t="s">
        <v>19</v>
      </c>
    </row>
    <row r="4" spans="1:2" ht="15.75" x14ac:dyDescent="0.25">
      <c r="A4">
        <v>3</v>
      </c>
      <c r="B4" s="1" t="s">
        <v>26</v>
      </c>
    </row>
    <row r="5" spans="1:2" ht="15.75" x14ac:dyDescent="0.25">
      <c r="A5">
        <v>4</v>
      </c>
      <c r="B5" s="1" t="s">
        <v>34</v>
      </c>
    </row>
    <row r="6" spans="1:2" ht="15.75" x14ac:dyDescent="0.25">
      <c r="A6">
        <v>5</v>
      </c>
      <c r="B6" s="1" t="s">
        <v>41</v>
      </c>
    </row>
    <row r="7" spans="1:2" ht="15.75" x14ac:dyDescent="0.25">
      <c r="A7">
        <v>6</v>
      </c>
      <c r="B7" s="1" t="s">
        <v>48</v>
      </c>
    </row>
    <row r="8" spans="1:2" ht="15.75" x14ac:dyDescent="0.25">
      <c r="A8">
        <v>7</v>
      </c>
      <c r="B8" s="1" t="s">
        <v>56</v>
      </c>
    </row>
    <row r="9" spans="1:2" ht="15.75" x14ac:dyDescent="0.25">
      <c r="A9">
        <v>8</v>
      </c>
      <c r="B9" s="1" t="s">
        <v>63</v>
      </c>
    </row>
    <row r="10" spans="1:2" ht="15.75" x14ac:dyDescent="0.25">
      <c r="A10">
        <v>9</v>
      </c>
      <c r="B10" s="1" t="s">
        <v>70</v>
      </c>
    </row>
    <row r="11" spans="1:2" ht="15.75" x14ac:dyDescent="0.25">
      <c r="A11">
        <v>10</v>
      </c>
      <c r="B11" s="1" t="s">
        <v>77</v>
      </c>
    </row>
    <row r="12" spans="1:2" ht="15.75" x14ac:dyDescent="0.25">
      <c r="A12">
        <v>11</v>
      </c>
      <c r="B12" s="1" t="s">
        <v>89</v>
      </c>
    </row>
    <row r="13" spans="1:2" ht="15.75" x14ac:dyDescent="0.25">
      <c r="A13">
        <v>12</v>
      </c>
      <c r="B13" s="1" t="s">
        <v>95</v>
      </c>
    </row>
    <row r="14" spans="1:2" ht="15.75" x14ac:dyDescent="0.25">
      <c r="A14">
        <v>13</v>
      </c>
      <c r="B14" s="1" t="s">
        <v>101</v>
      </c>
    </row>
    <row r="15" spans="1:2" ht="15.75" x14ac:dyDescent="0.25">
      <c r="A15">
        <v>14</v>
      </c>
      <c r="B15" s="1" t="s">
        <v>107</v>
      </c>
    </row>
    <row r="16" spans="1:2" ht="15.75" x14ac:dyDescent="0.25">
      <c r="A16">
        <v>15</v>
      </c>
      <c r="B16" s="1" t="s">
        <v>146</v>
      </c>
    </row>
    <row r="17" spans="1:2" ht="15.75" x14ac:dyDescent="0.25">
      <c r="A17">
        <v>16</v>
      </c>
      <c r="B17" s="1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6" sqref="C6"/>
    </sheetView>
  </sheetViews>
  <sheetFormatPr defaultRowHeight="15" x14ac:dyDescent="0.25"/>
  <cols>
    <col min="1" max="1" width="13.140625" customWidth="1"/>
  </cols>
  <sheetData>
    <row r="1" spans="1:2" x14ac:dyDescent="0.25">
      <c r="A1" t="s">
        <v>357</v>
      </c>
      <c r="B1" t="s">
        <v>358</v>
      </c>
    </row>
    <row r="2" spans="1:2" ht="15.75" x14ac:dyDescent="0.25">
      <c r="A2">
        <v>1</v>
      </c>
      <c r="B2" s="1" t="s">
        <v>10</v>
      </c>
    </row>
    <row r="3" spans="1:2" ht="15.75" x14ac:dyDescent="0.25">
      <c r="A3">
        <v>2</v>
      </c>
      <c r="B3" s="1" t="s">
        <v>74</v>
      </c>
    </row>
    <row r="4" spans="1:2" ht="15.75" x14ac:dyDescent="0.25">
      <c r="A4">
        <v>3</v>
      </c>
      <c r="B4" s="1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"/>
  <sheetViews>
    <sheetView workbookViewId="0">
      <selection activeCell="G3" sqref="G3"/>
    </sheetView>
  </sheetViews>
  <sheetFormatPr defaultRowHeight="15" x14ac:dyDescent="0.25"/>
  <cols>
    <col min="1" max="1" width="14.42578125" customWidth="1"/>
  </cols>
  <sheetData>
    <row r="1" spans="1:5" x14ac:dyDescent="0.25">
      <c r="A1" t="s">
        <v>352</v>
      </c>
      <c r="B1" t="s">
        <v>353</v>
      </c>
      <c r="C1" t="s">
        <v>354</v>
      </c>
      <c r="D1" t="s">
        <v>356</v>
      </c>
      <c r="E1" t="s">
        <v>355</v>
      </c>
    </row>
    <row r="2" spans="1:5" x14ac:dyDescent="0.25">
      <c r="A2">
        <v>1</v>
      </c>
      <c r="B2">
        <v>1</v>
      </c>
      <c r="C2" t="s">
        <v>302</v>
      </c>
      <c r="D2">
        <v>20</v>
      </c>
      <c r="E2">
        <v>20</v>
      </c>
    </row>
    <row r="3" spans="1:5" x14ac:dyDescent="0.25">
      <c r="A3">
        <v>2</v>
      </c>
      <c r="B3">
        <v>1</v>
      </c>
      <c r="C3" t="s">
        <v>303</v>
      </c>
      <c r="D3">
        <v>20</v>
      </c>
      <c r="E3">
        <v>20</v>
      </c>
    </row>
    <row r="4" spans="1:5" x14ac:dyDescent="0.25">
      <c r="A4">
        <v>3</v>
      </c>
      <c r="B4">
        <v>1</v>
      </c>
      <c r="C4" t="s">
        <v>304</v>
      </c>
      <c r="D4">
        <v>20</v>
      </c>
      <c r="E4">
        <v>20</v>
      </c>
    </row>
    <row r="5" spans="1:5" x14ac:dyDescent="0.25">
      <c r="A5">
        <v>4</v>
      </c>
      <c r="B5">
        <v>1</v>
      </c>
      <c r="C5" t="s">
        <v>305</v>
      </c>
      <c r="D5">
        <v>20</v>
      </c>
      <c r="E5">
        <v>20</v>
      </c>
    </row>
    <row r="6" spans="1:5" x14ac:dyDescent="0.25">
      <c r="A6">
        <v>5</v>
      </c>
      <c r="B6">
        <v>1</v>
      </c>
      <c r="C6" t="s">
        <v>306</v>
      </c>
      <c r="D6">
        <v>20</v>
      </c>
      <c r="E6">
        <v>20</v>
      </c>
    </row>
    <row r="7" spans="1:5" x14ac:dyDescent="0.25">
      <c r="A7">
        <v>6</v>
      </c>
      <c r="B7">
        <v>1</v>
      </c>
      <c r="C7" t="s">
        <v>307</v>
      </c>
      <c r="D7">
        <v>20</v>
      </c>
      <c r="E7">
        <v>20</v>
      </c>
    </row>
    <row r="8" spans="1:5" x14ac:dyDescent="0.25">
      <c r="A8">
        <v>7</v>
      </c>
      <c r="B8">
        <v>1</v>
      </c>
      <c r="C8" t="s">
        <v>308</v>
      </c>
      <c r="D8">
        <v>20</v>
      </c>
      <c r="E8">
        <v>20</v>
      </c>
    </row>
    <row r="9" spans="1:5" x14ac:dyDescent="0.25">
      <c r="A9">
        <v>8</v>
      </c>
      <c r="B9">
        <v>1</v>
      </c>
      <c r="C9" t="s">
        <v>309</v>
      </c>
      <c r="D9">
        <v>20</v>
      </c>
      <c r="E9">
        <v>20</v>
      </c>
    </row>
    <row r="10" spans="1:5" x14ac:dyDescent="0.25">
      <c r="A10">
        <v>9</v>
      </c>
      <c r="B10">
        <v>1</v>
      </c>
      <c r="C10" t="s">
        <v>310</v>
      </c>
      <c r="D10">
        <v>20</v>
      </c>
      <c r="E10">
        <v>20</v>
      </c>
    </row>
    <row r="11" spans="1:5" x14ac:dyDescent="0.25">
      <c r="A11">
        <v>10</v>
      </c>
      <c r="B11">
        <v>1</v>
      </c>
      <c r="C11" t="s">
        <v>311</v>
      </c>
      <c r="D11">
        <v>20</v>
      </c>
      <c r="E11">
        <v>20</v>
      </c>
    </row>
    <row r="12" spans="1:5" x14ac:dyDescent="0.25">
      <c r="A12">
        <v>11</v>
      </c>
      <c r="B12">
        <v>1</v>
      </c>
      <c r="C12" t="s">
        <v>312</v>
      </c>
      <c r="D12">
        <v>20</v>
      </c>
      <c r="E12">
        <v>20</v>
      </c>
    </row>
    <row r="13" spans="1:5" x14ac:dyDescent="0.25">
      <c r="A13">
        <v>12</v>
      </c>
      <c r="B13">
        <v>1</v>
      </c>
      <c r="C13" t="s">
        <v>313</v>
      </c>
      <c r="D13">
        <v>20</v>
      </c>
      <c r="E13">
        <v>20</v>
      </c>
    </row>
    <row r="14" spans="1:5" x14ac:dyDescent="0.25">
      <c r="A14">
        <v>13</v>
      </c>
      <c r="B14">
        <v>2</v>
      </c>
      <c r="C14" t="s">
        <v>304</v>
      </c>
      <c r="D14">
        <v>1</v>
      </c>
      <c r="E14">
        <v>0</v>
      </c>
    </row>
    <row r="15" spans="1:5" x14ac:dyDescent="0.25">
      <c r="A15">
        <v>14</v>
      </c>
      <c r="B15">
        <v>2</v>
      </c>
      <c r="C15" t="s">
        <v>305</v>
      </c>
      <c r="D15">
        <v>1</v>
      </c>
      <c r="E15">
        <v>0</v>
      </c>
    </row>
    <row r="16" spans="1:5" x14ac:dyDescent="0.25">
      <c r="A16">
        <v>15</v>
      </c>
      <c r="B16">
        <v>2</v>
      </c>
      <c r="C16" t="s">
        <v>306</v>
      </c>
      <c r="D16">
        <v>1</v>
      </c>
      <c r="E16">
        <v>0</v>
      </c>
    </row>
    <row r="17" spans="1:5" x14ac:dyDescent="0.25">
      <c r="A17">
        <v>16</v>
      </c>
      <c r="B17">
        <v>2</v>
      </c>
      <c r="C17" t="s">
        <v>307</v>
      </c>
      <c r="D17">
        <v>1</v>
      </c>
      <c r="E17">
        <v>0</v>
      </c>
    </row>
    <row r="18" spans="1:5" x14ac:dyDescent="0.25">
      <c r="A18">
        <v>17</v>
      </c>
      <c r="B18">
        <v>2</v>
      </c>
      <c r="C18" t="s">
        <v>308</v>
      </c>
      <c r="D18">
        <v>1</v>
      </c>
      <c r="E18">
        <v>0</v>
      </c>
    </row>
    <row r="19" spans="1:5" x14ac:dyDescent="0.25">
      <c r="A19">
        <v>18</v>
      </c>
      <c r="B19">
        <v>2</v>
      </c>
      <c r="C19" t="s">
        <v>309</v>
      </c>
      <c r="D19">
        <v>1</v>
      </c>
      <c r="E19">
        <v>0</v>
      </c>
    </row>
    <row r="20" spans="1:5" x14ac:dyDescent="0.25">
      <c r="A20">
        <v>19</v>
      </c>
      <c r="B20">
        <v>2</v>
      </c>
      <c r="C20" t="s">
        <v>310</v>
      </c>
      <c r="D20">
        <v>1</v>
      </c>
      <c r="E20">
        <v>0</v>
      </c>
    </row>
    <row r="21" spans="1:5" x14ac:dyDescent="0.25">
      <c r="A21">
        <v>20</v>
      </c>
      <c r="B21">
        <v>2</v>
      </c>
      <c r="C21" t="s">
        <v>311</v>
      </c>
      <c r="D21">
        <v>1</v>
      </c>
      <c r="E21">
        <v>0</v>
      </c>
    </row>
    <row r="22" spans="1:5" x14ac:dyDescent="0.25">
      <c r="A22">
        <v>21</v>
      </c>
      <c r="B22">
        <v>2</v>
      </c>
      <c r="C22" t="s">
        <v>312</v>
      </c>
      <c r="D22">
        <v>1</v>
      </c>
      <c r="E22">
        <v>0</v>
      </c>
    </row>
    <row r="23" spans="1:5" x14ac:dyDescent="0.25">
      <c r="A23">
        <v>22</v>
      </c>
      <c r="B23">
        <v>2</v>
      </c>
      <c r="C23" t="s">
        <v>313</v>
      </c>
      <c r="D23">
        <v>1</v>
      </c>
      <c r="E23">
        <v>0</v>
      </c>
    </row>
    <row r="24" spans="1:5" x14ac:dyDescent="0.25">
      <c r="A24">
        <v>23</v>
      </c>
      <c r="B24">
        <v>2</v>
      </c>
      <c r="C24" t="s">
        <v>323</v>
      </c>
      <c r="D24">
        <v>1</v>
      </c>
      <c r="E24">
        <v>0</v>
      </c>
    </row>
    <row r="25" spans="1:5" x14ac:dyDescent="0.25">
      <c r="A25">
        <v>24</v>
      </c>
      <c r="B25">
        <v>2</v>
      </c>
      <c r="C25" t="s">
        <v>324</v>
      </c>
      <c r="D25">
        <v>1</v>
      </c>
      <c r="E25">
        <v>1</v>
      </c>
    </row>
    <row r="26" spans="1:5" x14ac:dyDescent="0.25">
      <c r="A26">
        <v>25</v>
      </c>
      <c r="B26">
        <v>2</v>
      </c>
      <c r="C26" t="s">
        <v>325</v>
      </c>
      <c r="D26">
        <v>1</v>
      </c>
      <c r="E26">
        <v>1</v>
      </c>
    </row>
    <row r="27" spans="1:5" x14ac:dyDescent="0.25">
      <c r="A27">
        <v>26</v>
      </c>
      <c r="B27">
        <v>3</v>
      </c>
      <c r="C27" t="s">
        <v>316</v>
      </c>
      <c r="D27">
        <v>30</v>
      </c>
      <c r="E27">
        <v>30</v>
      </c>
    </row>
    <row r="28" spans="1:5" x14ac:dyDescent="0.25">
      <c r="A28">
        <v>27</v>
      </c>
      <c r="B28">
        <v>3</v>
      </c>
      <c r="C28" t="s">
        <v>302</v>
      </c>
      <c r="D28">
        <v>30</v>
      </c>
      <c r="E28">
        <v>30</v>
      </c>
    </row>
    <row r="29" spans="1:5" x14ac:dyDescent="0.25">
      <c r="A29">
        <v>28</v>
      </c>
      <c r="B29">
        <v>3</v>
      </c>
      <c r="C29" t="s">
        <v>303</v>
      </c>
      <c r="D29">
        <v>30</v>
      </c>
      <c r="E29">
        <v>0</v>
      </c>
    </row>
    <row r="30" spans="1:5" x14ac:dyDescent="0.25">
      <c r="A30">
        <v>29</v>
      </c>
      <c r="B30">
        <v>3</v>
      </c>
      <c r="C30" t="s">
        <v>304</v>
      </c>
      <c r="D30">
        <v>30</v>
      </c>
      <c r="E30">
        <v>0</v>
      </c>
    </row>
    <row r="31" spans="1:5" x14ac:dyDescent="0.25">
      <c r="A31">
        <v>30</v>
      </c>
      <c r="B31">
        <v>3</v>
      </c>
      <c r="C31" t="s">
        <v>305</v>
      </c>
      <c r="D31">
        <v>30</v>
      </c>
      <c r="E31">
        <v>0</v>
      </c>
    </row>
    <row r="32" spans="1:5" x14ac:dyDescent="0.25">
      <c r="A32">
        <v>31</v>
      </c>
      <c r="B32">
        <v>3</v>
      </c>
      <c r="C32" t="s">
        <v>306</v>
      </c>
      <c r="D32">
        <v>30</v>
      </c>
      <c r="E32">
        <v>0</v>
      </c>
    </row>
    <row r="33" spans="1:5" x14ac:dyDescent="0.25">
      <c r="A33">
        <v>32</v>
      </c>
      <c r="B33">
        <v>3</v>
      </c>
      <c r="C33" t="s">
        <v>307</v>
      </c>
      <c r="D33">
        <v>30</v>
      </c>
      <c r="E33">
        <v>30</v>
      </c>
    </row>
    <row r="34" spans="1:5" x14ac:dyDescent="0.25">
      <c r="A34">
        <v>33</v>
      </c>
      <c r="B34">
        <v>3</v>
      </c>
      <c r="C34" t="s">
        <v>308</v>
      </c>
      <c r="D34">
        <v>30</v>
      </c>
      <c r="E34">
        <v>30</v>
      </c>
    </row>
    <row r="35" spans="1:5" x14ac:dyDescent="0.25">
      <c r="A35">
        <v>34</v>
      </c>
      <c r="B35">
        <v>3</v>
      </c>
      <c r="C35" t="s">
        <v>309</v>
      </c>
      <c r="D35">
        <v>30</v>
      </c>
      <c r="E35">
        <v>0</v>
      </c>
    </row>
    <row r="36" spans="1:5" x14ac:dyDescent="0.25">
      <c r="A36">
        <v>35</v>
      </c>
      <c r="B36">
        <v>3</v>
      </c>
      <c r="C36" t="s">
        <v>310</v>
      </c>
      <c r="D36">
        <v>30</v>
      </c>
      <c r="E36">
        <v>0</v>
      </c>
    </row>
    <row r="37" spans="1:5" x14ac:dyDescent="0.25">
      <c r="A37">
        <v>36</v>
      </c>
      <c r="B37">
        <v>3</v>
      </c>
      <c r="C37" t="s">
        <v>311</v>
      </c>
      <c r="D37">
        <v>30</v>
      </c>
      <c r="E37">
        <v>0</v>
      </c>
    </row>
    <row r="38" spans="1:5" x14ac:dyDescent="0.25">
      <c r="A38">
        <v>37</v>
      </c>
      <c r="B38">
        <v>3</v>
      </c>
      <c r="C38" t="s">
        <v>312</v>
      </c>
      <c r="D38">
        <v>30</v>
      </c>
      <c r="E38">
        <v>0</v>
      </c>
    </row>
    <row r="39" spans="1:5" x14ac:dyDescent="0.25">
      <c r="A39">
        <v>38</v>
      </c>
      <c r="B39">
        <v>4</v>
      </c>
      <c r="C39" t="s">
        <v>316</v>
      </c>
      <c r="D39">
        <v>15</v>
      </c>
      <c r="E39">
        <v>15</v>
      </c>
    </row>
    <row r="40" spans="1:5" x14ac:dyDescent="0.25">
      <c r="A40">
        <v>39</v>
      </c>
      <c r="B40">
        <v>4</v>
      </c>
      <c r="C40" t="s">
        <v>302</v>
      </c>
      <c r="D40">
        <v>15</v>
      </c>
      <c r="E40">
        <v>15</v>
      </c>
    </row>
    <row r="41" spans="1:5" x14ac:dyDescent="0.25">
      <c r="A41">
        <v>40</v>
      </c>
      <c r="B41">
        <v>4</v>
      </c>
      <c r="C41" t="s">
        <v>303</v>
      </c>
      <c r="D41">
        <v>15</v>
      </c>
      <c r="E41">
        <v>0</v>
      </c>
    </row>
    <row r="42" spans="1:5" x14ac:dyDescent="0.25">
      <c r="A42">
        <v>41</v>
      </c>
      <c r="B42">
        <v>4</v>
      </c>
      <c r="C42" t="s">
        <v>304</v>
      </c>
      <c r="D42">
        <v>15</v>
      </c>
      <c r="E42">
        <v>0</v>
      </c>
    </row>
    <row r="43" spans="1:5" x14ac:dyDescent="0.25">
      <c r="A43">
        <v>42</v>
      </c>
      <c r="B43">
        <v>4</v>
      </c>
      <c r="C43" t="s">
        <v>305</v>
      </c>
      <c r="D43">
        <v>15</v>
      </c>
      <c r="E43">
        <v>0</v>
      </c>
    </row>
    <row r="44" spans="1:5" x14ac:dyDescent="0.25">
      <c r="A44">
        <v>43</v>
      </c>
      <c r="B44">
        <v>4</v>
      </c>
      <c r="C44" t="s">
        <v>306</v>
      </c>
      <c r="D44">
        <v>15</v>
      </c>
      <c r="E44">
        <v>0</v>
      </c>
    </row>
    <row r="45" spans="1:5" x14ac:dyDescent="0.25">
      <c r="A45">
        <v>44</v>
      </c>
      <c r="B45">
        <v>4</v>
      </c>
      <c r="C45" t="s">
        <v>307</v>
      </c>
      <c r="D45">
        <v>15</v>
      </c>
      <c r="E45">
        <v>0</v>
      </c>
    </row>
    <row r="46" spans="1:5" x14ac:dyDescent="0.25">
      <c r="A46">
        <v>45</v>
      </c>
      <c r="B46">
        <v>4</v>
      </c>
      <c r="C46" t="s">
        <v>308</v>
      </c>
      <c r="D46">
        <v>15</v>
      </c>
      <c r="E46">
        <v>15</v>
      </c>
    </row>
    <row r="47" spans="1:5" x14ac:dyDescent="0.25">
      <c r="A47">
        <v>46</v>
      </c>
      <c r="B47">
        <v>4</v>
      </c>
      <c r="C47" t="s">
        <v>309</v>
      </c>
      <c r="D47">
        <v>15</v>
      </c>
      <c r="E47">
        <v>0</v>
      </c>
    </row>
    <row r="48" spans="1:5" x14ac:dyDescent="0.25">
      <c r="A48">
        <v>47</v>
      </c>
      <c r="B48">
        <v>4</v>
      </c>
      <c r="C48" t="s">
        <v>310</v>
      </c>
      <c r="D48">
        <v>15</v>
      </c>
      <c r="E48">
        <v>0</v>
      </c>
    </row>
    <row r="49" spans="1:5" x14ac:dyDescent="0.25">
      <c r="A49">
        <v>48</v>
      </c>
      <c r="B49">
        <v>4</v>
      </c>
      <c r="C49" t="s">
        <v>311</v>
      </c>
      <c r="D49">
        <v>15</v>
      </c>
      <c r="E49">
        <v>0</v>
      </c>
    </row>
    <row r="50" spans="1:5" x14ac:dyDescent="0.25">
      <c r="A50">
        <v>49</v>
      </c>
      <c r="B50">
        <v>4</v>
      </c>
      <c r="C50" t="s">
        <v>312</v>
      </c>
      <c r="D50">
        <v>15</v>
      </c>
      <c r="E50">
        <v>15</v>
      </c>
    </row>
    <row r="51" spans="1:5" x14ac:dyDescent="0.25">
      <c r="A51">
        <v>50</v>
      </c>
      <c r="B51">
        <v>4</v>
      </c>
      <c r="C51" t="s">
        <v>323</v>
      </c>
      <c r="D51">
        <v>15</v>
      </c>
      <c r="E51">
        <v>15</v>
      </c>
    </row>
    <row r="52" spans="1:5" x14ac:dyDescent="0.25">
      <c r="A52">
        <v>51</v>
      </c>
      <c r="B52">
        <v>5</v>
      </c>
      <c r="C52" t="s">
        <v>303</v>
      </c>
      <c r="D52">
        <v>5</v>
      </c>
      <c r="E52">
        <v>5</v>
      </c>
    </row>
    <row r="53" spans="1:5" x14ac:dyDescent="0.25">
      <c r="A53">
        <v>52</v>
      </c>
      <c r="B53">
        <v>5</v>
      </c>
      <c r="C53" t="s">
        <v>304</v>
      </c>
      <c r="D53">
        <v>5</v>
      </c>
      <c r="E53">
        <v>0</v>
      </c>
    </row>
    <row r="54" spans="1:5" x14ac:dyDescent="0.25">
      <c r="A54">
        <v>53</v>
      </c>
      <c r="B54">
        <v>5</v>
      </c>
      <c r="C54" t="s">
        <v>305</v>
      </c>
      <c r="D54">
        <v>5</v>
      </c>
      <c r="E54">
        <v>0</v>
      </c>
    </row>
    <row r="55" spans="1:5" x14ac:dyDescent="0.25">
      <c r="A55">
        <v>54</v>
      </c>
      <c r="B55">
        <v>5</v>
      </c>
      <c r="C55" t="s">
        <v>306</v>
      </c>
      <c r="D55">
        <v>5</v>
      </c>
      <c r="E55">
        <v>0</v>
      </c>
    </row>
    <row r="56" spans="1:5" x14ac:dyDescent="0.25">
      <c r="A56">
        <v>55</v>
      </c>
      <c r="B56">
        <v>5</v>
      </c>
      <c r="C56" t="s">
        <v>307</v>
      </c>
      <c r="D56">
        <v>5</v>
      </c>
      <c r="E56">
        <v>0</v>
      </c>
    </row>
    <row r="57" spans="1:5" x14ac:dyDescent="0.25">
      <c r="A57">
        <v>56</v>
      </c>
      <c r="B57">
        <v>5</v>
      </c>
      <c r="C57" t="s">
        <v>308</v>
      </c>
      <c r="D57">
        <v>5</v>
      </c>
      <c r="E57">
        <v>5</v>
      </c>
    </row>
    <row r="58" spans="1:5" x14ac:dyDescent="0.25">
      <c r="A58">
        <v>57</v>
      </c>
      <c r="B58">
        <v>5</v>
      </c>
      <c r="C58" t="s">
        <v>309</v>
      </c>
      <c r="D58">
        <v>5</v>
      </c>
      <c r="E58">
        <v>0</v>
      </c>
    </row>
    <row r="59" spans="1:5" x14ac:dyDescent="0.25">
      <c r="A59">
        <v>58</v>
      </c>
      <c r="B59">
        <v>5</v>
      </c>
      <c r="C59" t="s">
        <v>310</v>
      </c>
      <c r="D59">
        <v>5</v>
      </c>
      <c r="E59">
        <v>0</v>
      </c>
    </row>
    <row r="60" spans="1:5" x14ac:dyDescent="0.25">
      <c r="A60">
        <v>59</v>
      </c>
      <c r="B60">
        <v>5</v>
      </c>
      <c r="C60" t="s">
        <v>311</v>
      </c>
      <c r="D60">
        <v>5</v>
      </c>
      <c r="E60">
        <v>0</v>
      </c>
    </row>
    <row r="61" spans="1:5" x14ac:dyDescent="0.25">
      <c r="A61">
        <v>60</v>
      </c>
      <c r="B61">
        <v>5</v>
      </c>
      <c r="C61" t="s">
        <v>312</v>
      </c>
      <c r="D61">
        <v>5</v>
      </c>
      <c r="E61">
        <v>0</v>
      </c>
    </row>
    <row r="62" spans="1:5" x14ac:dyDescent="0.25">
      <c r="A62">
        <v>61</v>
      </c>
      <c r="B62">
        <v>5</v>
      </c>
      <c r="C62" t="s">
        <v>323</v>
      </c>
      <c r="D62">
        <v>5</v>
      </c>
      <c r="E62">
        <v>0</v>
      </c>
    </row>
    <row r="63" spans="1:5" x14ac:dyDescent="0.25">
      <c r="A63">
        <v>62</v>
      </c>
      <c r="B63">
        <v>5</v>
      </c>
      <c r="C63" t="s">
        <v>324</v>
      </c>
      <c r="D63">
        <v>5</v>
      </c>
      <c r="E63">
        <v>0</v>
      </c>
    </row>
    <row r="64" spans="1:5" x14ac:dyDescent="0.25">
      <c r="A64">
        <v>63</v>
      </c>
      <c r="B64">
        <v>6</v>
      </c>
      <c r="C64" t="s">
        <v>317</v>
      </c>
      <c r="D64">
        <v>4</v>
      </c>
      <c r="E64">
        <v>0</v>
      </c>
    </row>
    <row r="65" spans="1:5" x14ac:dyDescent="0.25">
      <c r="A65">
        <v>64</v>
      </c>
      <c r="B65">
        <v>6</v>
      </c>
      <c r="C65" t="s">
        <v>316</v>
      </c>
      <c r="D65">
        <v>4</v>
      </c>
      <c r="E65">
        <v>0</v>
      </c>
    </row>
    <row r="66" spans="1:5" x14ac:dyDescent="0.25">
      <c r="A66">
        <v>65</v>
      </c>
      <c r="B66">
        <v>6</v>
      </c>
      <c r="C66" t="s">
        <v>302</v>
      </c>
      <c r="D66">
        <v>4</v>
      </c>
      <c r="E66">
        <v>0</v>
      </c>
    </row>
    <row r="67" spans="1:5" x14ac:dyDescent="0.25">
      <c r="A67">
        <v>66</v>
      </c>
      <c r="B67">
        <v>6</v>
      </c>
      <c r="C67" t="s">
        <v>303</v>
      </c>
      <c r="D67">
        <v>4</v>
      </c>
      <c r="E67">
        <v>0</v>
      </c>
    </row>
    <row r="68" spans="1:5" x14ac:dyDescent="0.25">
      <c r="A68">
        <v>67</v>
      </c>
      <c r="B68">
        <v>6</v>
      </c>
      <c r="C68" t="s">
        <v>304</v>
      </c>
      <c r="D68">
        <v>4</v>
      </c>
      <c r="E68">
        <v>0</v>
      </c>
    </row>
    <row r="69" spans="1:5" x14ac:dyDescent="0.25">
      <c r="A69">
        <v>68</v>
      </c>
      <c r="B69">
        <v>6</v>
      </c>
      <c r="C69" t="s">
        <v>305</v>
      </c>
      <c r="D69">
        <v>4</v>
      </c>
      <c r="E69">
        <v>0</v>
      </c>
    </row>
    <row r="70" spans="1:5" x14ac:dyDescent="0.25">
      <c r="A70">
        <v>69</v>
      </c>
      <c r="B70">
        <v>6</v>
      </c>
      <c r="C70" t="s">
        <v>306</v>
      </c>
      <c r="D70">
        <v>4</v>
      </c>
      <c r="E70">
        <v>0</v>
      </c>
    </row>
    <row r="71" spans="1:5" x14ac:dyDescent="0.25">
      <c r="A71">
        <v>70</v>
      </c>
      <c r="B71">
        <v>6</v>
      </c>
      <c r="C71" t="s">
        <v>307</v>
      </c>
      <c r="D71">
        <v>4</v>
      </c>
      <c r="E71">
        <v>0</v>
      </c>
    </row>
    <row r="72" spans="1:5" x14ac:dyDescent="0.25">
      <c r="A72">
        <v>71</v>
      </c>
      <c r="B72">
        <v>6</v>
      </c>
      <c r="C72" t="s">
        <v>308</v>
      </c>
      <c r="D72">
        <v>4</v>
      </c>
      <c r="E72">
        <v>0</v>
      </c>
    </row>
    <row r="73" spans="1:5" x14ac:dyDescent="0.25">
      <c r="A73">
        <v>72</v>
      </c>
      <c r="B73">
        <v>6</v>
      </c>
      <c r="C73" t="s">
        <v>309</v>
      </c>
      <c r="D73">
        <v>4</v>
      </c>
      <c r="E73">
        <v>4</v>
      </c>
    </row>
    <row r="74" spans="1:5" x14ac:dyDescent="0.25">
      <c r="A74">
        <v>73</v>
      </c>
      <c r="B74">
        <v>6</v>
      </c>
      <c r="C74" t="s">
        <v>310</v>
      </c>
      <c r="D74">
        <v>4</v>
      </c>
      <c r="E74">
        <v>4</v>
      </c>
    </row>
    <row r="75" spans="1:5" x14ac:dyDescent="0.25">
      <c r="A75">
        <v>74</v>
      </c>
      <c r="B75">
        <v>6</v>
      </c>
      <c r="C75" t="s">
        <v>311</v>
      </c>
      <c r="D75">
        <v>4</v>
      </c>
      <c r="E75">
        <v>4</v>
      </c>
    </row>
    <row r="76" spans="1:5" x14ac:dyDescent="0.25">
      <c r="A76">
        <v>75</v>
      </c>
      <c r="B76">
        <v>7</v>
      </c>
      <c r="C76" t="s">
        <v>317</v>
      </c>
      <c r="D76">
        <v>3</v>
      </c>
      <c r="E76">
        <v>0</v>
      </c>
    </row>
    <row r="77" spans="1:5" x14ac:dyDescent="0.25">
      <c r="A77">
        <v>76</v>
      </c>
      <c r="B77">
        <v>7</v>
      </c>
      <c r="C77" t="s">
        <v>316</v>
      </c>
      <c r="D77">
        <v>3</v>
      </c>
      <c r="E77">
        <v>0</v>
      </c>
    </row>
    <row r="78" spans="1:5" x14ac:dyDescent="0.25">
      <c r="A78">
        <v>77</v>
      </c>
      <c r="B78">
        <v>7</v>
      </c>
      <c r="C78" t="s">
        <v>302</v>
      </c>
      <c r="D78">
        <v>3</v>
      </c>
      <c r="E78">
        <v>0</v>
      </c>
    </row>
    <row r="79" spans="1:5" x14ac:dyDescent="0.25">
      <c r="A79">
        <v>78</v>
      </c>
      <c r="B79">
        <v>7</v>
      </c>
      <c r="C79" t="s">
        <v>303</v>
      </c>
      <c r="D79">
        <v>3</v>
      </c>
      <c r="E79">
        <v>3</v>
      </c>
    </row>
    <row r="80" spans="1:5" x14ac:dyDescent="0.25">
      <c r="A80">
        <v>79</v>
      </c>
      <c r="B80">
        <v>7</v>
      </c>
      <c r="C80" t="s">
        <v>304</v>
      </c>
      <c r="D80">
        <v>3</v>
      </c>
      <c r="E80">
        <v>3</v>
      </c>
    </row>
    <row r="81" spans="1:5" x14ac:dyDescent="0.25">
      <c r="A81">
        <v>80</v>
      </c>
      <c r="B81">
        <v>7</v>
      </c>
      <c r="C81" t="s">
        <v>305</v>
      </c>
      <c r="D81">
        <v>3</v>
      </c>
      <c r="E81">
        <v>3</v>
      </c>
    </row>
    <row r="82" spans="1:5" x14ac:dyDescent="0.25">
      <c r="A82">
        <v>81</v>
      </c>
      <c r="B82">
        <v>7</v>
      </c>
      <c r="C82" t="s">
        <v>306</v>
      </c>
      <c r="D82">
        <v>3</v>
      </c>
      <c r="E82">
        <v>3</v>
      </c>
    </row>
    <row r="83" spans="1:5" x14ac:dyDescent="0.25">
      <c r="A83">
        <v>82</v>
      </c>
      <c r="B83">
        <v>7</v>
      </c>
      <c r="C83" t="s">
        <v>307</v>
      </c>
      <c r="D83">
        <v>3</v>
      </c>
      <c r="E83">
        <v>0</v>
      </c>
    </row>
    <row r="84" spans="1:5" x14ac:dyDescent="0.25">
      <c r="A84">
        <v>83</v>
      </c>
      <c r="B84">
        <v>7</v>
      </c>
      <c r="C84" t="s">
        <v>308</v>
      </c>
      <c r="D84">
        <v>3</v>
      </c>
      <c r="E84">
        <v>0</v>
      </c>
    </row>
    <row r="85" spans="1:5" x14ac:dyDescent="0.25">
      <c r="A85">
        <v>84</v>
      </c>
      <c r="B85">
        <v>7</v>
      </c>
      <c r="C85" t="s">
        <v>309</v>
      </c>
      <c r="D85">
        <v>3</v>
      </c>
      <c r="E85">
        <v>0</v>
      </c>
    </row>
    <row r="86" spans="1:5" x14ac:dyDescent="0.25">
      <c r="A86">
        <v>85</v>
      </c>
      <c r="B86">
        <v>7</v>
      </c>
      <c r="C86" t="s">
        <v>310</v>
      </c>
      <c r="D86">
        <v>3</v>
      </c>
      <c r="E86">
        <v>0</v>
      </c>
    </row>
    <row r="87" spans="1:5" x14ac:dyDescent="0.25">
      <c r="A87">
        <v>86</v>
      </c>
      <c r="B87">
        <v>8</v>
      </c>
      <c r="C87" t="s">
        <v>316</v>
      </c>
      <c r="D87">
        <v>7</v>
      </c>
      <c r="E87">
        <v>0</v>
      </c>
    </row>
    <row r="88" spans="1:5" x14ac:dyDescent="0.25">
      <c r="A88">
        <v>87</v>
      </c>
      <c r="B88">
        <v>8</v>
      </c>
      <c r="C88" t="s">
        <v>302</v>
      </c>
      <c r="D88">
        <v>7</v>
      </c>
      <c r="E88">
        <v>0</v>
      </c>
    </row>
    <row r="89" spans="1:5" x14ac:dyDescent="0.25">
      <c r="A89">
        <v>88</v>
      </c>
      <c r="B89">
        <v>8</v>
      </c>
      <c r="C89" t="s">
        <v>303</v>
      </c>
      <c r="D89">
        <v>7</v>
      </c>
      <c r="E89">
        <v>0</v>
      </c>
    </row>
    <row r="90" spans="1:5" x14ac:dyDescent="0.25">
      <c r="A90">
        <v>89</v>
      </c>
      <c r="B90">
        <v>8</v>
      </c>
      <c r="C90" t="s">
        <v>304</v>
      </c>
      <c r="D90">
        <v>7</v>
      </c>
      <c r="E90">
        <v>0</v>
      </c>
    </row>
    <row r="91" spans="1:5" x14ac:dyDescent="0.25">
      <c r="A91">
        <v>90</v>
      </c>
      <c r="B91">
        <v>8</v>
      </c>
      <c r="C91" t="s">
        <v>305</v>
      </c>
      <c r="D91">
        <v>7</v>
      </c>
      <c r="E91">
        <v>0</v>
      </c>
    </row>
    <row r="92" spans="1:5" x14ac:dyDescent="0.25">
      <c r="A92">
        <v>91</v>
      </c>
      <c r="B92">
        <v>8</v>
      </c>
      <c r="C92" t="s">
        <v>306</v>
      </c>
      <c r="D92">
        <v>7</v>
      </c>
      <c r="E92">
        <v>0</v>
      </c>
    </row>
    <row r="93" spans="1:5" x14ac:dyDescent="0.25">
      <c r="A93">
        <v>92</v>
      </c>
      <c r="B93">
        <v>8</v>
      </c>
      <c r="C93" t="s">
        <v>307</v>
      </c>
      <c r="D93">
        <v>7</v>
      </c>
      <c r="E93">
        <v>0</v>
      </c>
    </row>
    <row r="94" spans="1:5" x14ac:dyDescent="0.25">
      <c r="A94">
        <v>93</v>
      </c>
      <c r="B94">
        <v>8</v>
      </c>
      <c r="C94" t="s">
        <v>308</v>
      </c>
      <c r="D94">
        <v>7</v>
      </c>
      <c r="E94">
        <v>0</v>
      </c>
    </row>
    <row r="95" spans="1:5" x14ac:dyDescent="0.25">
      <c r="A95">
        <v>94</v>
      </c>
      <c r="B95">
        <v>8</v>
      </c>
      <c r="C95" t="s">
        <v>309</v>
      </c>
      <c r="D95">
        <v>7</v>
      </c>
      <c r="E95">
        <v>7</v>
      </c>
    </row>
    <row r="96" spans="1:5" x14ac:dyDescent="0.25">
      <c r="A96">
        <v>95</v>
      </c>
      <c r="B96">
        <v>8</v>
      </c>
      <c r="C96" t="s">
        <v>310</v>
      </c>
      <c r="D96">
        <v>7</v>
      </c>
      <c r="E96">
        <v>7</v>
      </c>
    </row>
    <row r="97" spans="1:5" x14ac:dyDescent="0.25">
      <c r="A97">
        <v>96</v>
      </c>
      <c r="B97">
        <v>8</v>
      </c>
      <c r="C97" t="s">
        <v>311</v>
      </c>
      <c r="D97">
        <v>7</v>
      </c>
      <c r="E97">
        <v>7</v>
      </c>
    </row>
    <row r="98" spans="1:5" x14ac:dyDescent="0.25">
      <c r="A98">
        <v>97</v>
      </c>
      <c r="B98">
        <v>8</v>
      </c>
      <c r="C98" t="s">
        <v>312</v>
      </c>
      <c r="D98">
        <v>7</v>
      </c>
      <c r="E98">
        <v>7</v>
      </c>
    </row>
    <row r="99" spans="1:5" x14ac:dyDescent="0.25">
      <c r="A99">
        <v>98</v>
      </c>
      <c r="B99">
        <v>9</v>
      </c>
      <c r="C99" t="s">
        <v>317</v>
      </c>
      <c r="D99">
        <v>7</v>
      </c>
      <c r="E99">
        <v>7</v>
      </c>
    </row>
    <row r="100" spans="1:5" x14ac:dyDescent="0.25">
      <c r="A100">
        <v>99</v>
      </c>
      <c r="B100">
        <v>9</v>
      </c>
      <c r="C100" t="s">
        <v>316</v>
      </c>
      <c r="D100">
        <v>7</v>
      </c>
      <c r="E100">
        <v>7</v>
      </c>
    </row>
    <row r="101" spans="1:5" x14ac:dyDescent="0.25">
      <c r="A101">
        <v>100</v>
      </c>
      <c r="B101">
        <v>9</v>
      </c>
      <c r="C101" t="s">
        <v>302</v>
      </c>
      <c r="D101">
        <v>7</v>
      </c>
      <c r="E101">
        <v>7</v>
      </c>
    </row>
    <row r="102" spans="1:5" x14ac:dyDescent="0.25">
      <c r="A102">
        <v>101</v>
      </c>
      <c r="B102">
        <v>9</v>
      </c>
      <c r="C102" t="s">
        <v>303</v>
      </c>
      <c r="D102">
        <v>7</v>
      </c>
      <c r="E102">
        <v>7</v>
      </c>
    </row>
    <row r="103" spans="1:5" x14ac:dyDescent="0.25">
      <c r="A103">
        <v>102</v>
      </c>
      <c r="B103">
        <v>9</v>
      </c>
      <c r="C103" t="s">
        <v>304</v>
      </c>
      <c r="D103">
        <v>7</v>
      </c>
      <c r="E103">
        <v>7</v>
      </c>
    </row>
    <row r="104" spans="1:5" x14ac:dyDescent="0.25">
      <c r="A104">
        <v>103</v>
      </c>
      <c r="B104">
        <v>9</v>
      </c>
      <c r="C104" t="s">
        <v>305</v>
      </c>
      <c r="D104">
        <v>7</v>
      </c>
      <c r="E104">
        <v>7</v>
      </c>
    </row>
    <row r="105" spans="1:5" x14ac:dyDescent="0.25">
      <c r="A105">
        <v>104</v>
      </c>
      <c r="B105">
        <v>9</v>
      </c>
      <c r="C105" t="s">
        <v>306</v>
      </c>
      <c r="D105">
        <v>7</v>
      </c>
      <c r="E105">
        <v>0</v>
      </c>
    </row>
    <row r="106" spans="1:5" x14ac:dyDescent="0.25">
      <c r="A106">
        <v>105</v>
      </c>
      <c r="B106">
        <v>9</v>
      </c>
      <c r="C106" t="s">
        <v>307</v>
      </c>
      <c r="D106">
        <v>7</v>
      </c>
      <c r="E106">
        <v>0</v>
      </c>
    </row>
    <row r="107" spans="1:5" x14ac:dyDescent="0.25">
      <c r="A107">
        <v>106</v>
      </c>
      <c r="B107">
        <v>9</v>
      </c>
      <c r="C107" t="s">
        <v>308</v>
      </c>
      <c r="D107">
        <v>7</v>
      </c>
      <c r="E107">
        <v>0</v>
      </c>
    </row>
    <row r="108" spans="1:5" x14ac:dyDescent="0.25">
      <c r="A108">
        <v>107</v>
      </c>
      <c r="B108">
        <v>9</v>
      </c>
      <c r="C108" t="s">
        <v>309</v>
      </c>
      <c r="D108">
        <v>7</v>
      </c>
      <c r="E108">
        <v>0</v>
      </c>
    </row>
    <row r="109" spans="1:5" x14ac:dyDescent="0.25">
      <c r="A109">
        <v>108</v>
      </c>
      <c r="B109">
        <v>9</v>
      </c>
      <c r="C109" t="s">
        <v>310</v>
      </c>
      <c r="D109">
        <v>7</v>
      </c>
      <c r="E109">
        <v>0</v>
      </c>
    </row>
    <row r="110" spans="1:5" x14ac:dyDescent="0.25">
      <c r="A110">
        <v>109</v>
      </c>
      <c r="B110">
        <v>10</v>
      </c>
      <c r="C110" t="s">
        <v>318</v>
      </c>
      <c r="D110">
        <v>12</v>
      </c>
      <c r="E110">
        <v>12</v>
      </c>
    </row>
    <row r="111" spans="1:5" x14ac:dyDescent="0.25">
      <c r="A111">
        <v>110</v>
      </c>
      <c r="B111">
        <v>10</v>
      </c>
      <c r="C111" t="s">
        <v>326</v>
      </c>
      <c r="D111">
        <v>12</v>
      </c>
      <c r="E111">
        <v>12</v>
      </c>
    </row>
    <row r="112" spans="1:5" x14ac:dyDescent="0.25">
      <c r="A112">
        <v>111</v>
      </c>
      <c r="B112">
        <v>10</v>
      </c>
      <c r="C112" t="s">
        <v>327</v>
      </c>
      <c r="D112">
        <v>12</v>
      </c>
      <c r="E112">
        <v>0</v>
      </c>
    </row>
    <row r="113" spans="1:5" x14ac:dyDescent="0.25">
      <c r="A113">
        <v>112</v>
      </c>
      <c r="B113">
        <v>10</v>
      </c>
      <c r="C113" t="s">
        <v>320</v>
      </c>
      <c r="D113">
        <v>12</v>
      </c>
      <c r="E113">
        <v>0</v>
      </c>
    </row>
    <row r="114" spans="1:5" x14ac:dyDescent="0.25">
      <c r="A114">
        <v>113</v>
      </c>
      <c r="B114">
        <v>10</v>
      </c>
      <c r="C114" t="s">
        <v>322</v>
      </c>
      <c r="D114">
        <v>12</v>
      </c>
      <c r="E114">
        <v>0</v>
      </c>
    </row>
    <row r="115" spans="1:5" x14ac:dyDescent="0.25">
      <c r="A115">
        <v>114</v>
      </c>
      <c r="B115">
        <v>10</v>
      </c>
      <c r="C115" t="s">
        <v>321</v>
      </c>
      <c r="D115">
        <v>12</v>
      </c>
      <c r="E115">
        <v>0</v>
      </c>
    </row>
    <row r="116" spans="1:5" x14ac:dyDescent="0.25">
      <c r="A116">
        <v>115</v>
      </c>
      <c r="B116">
        <v>11</v>
      </c>
      <c r="C116" t="s">
        <v>318</v>
      </c>
      <c r="D116">
        <v>2</v>
      </c>
      <c r="E116">
        <v>0</v>
      </c>
    </row>
    <row r="117" spans="1:5" x14ac:dyDescent="0.25">
      <c r="A117">
        <v>116</v>
      </c>
      <c r="B117">
        <v>11</v>
      </c>
      <c r="C117" t="s">
        <v>326</v>
      </c>
      <c r="D117">
        <v>2</v>
      </c>
      <c r="E117">
        <v>0</v>
      </c>
    </row>
    <row r="118" spans="1:5" x14ac:dyDescent="0.25">
      <c r="A118">
        <v>117</v>
      </c>
      <c r="B118">
        <v>11</v>
      </c>
      <c r="C118" t="s">
        <v>327</v>
      </c>
      <c r="D118">
        <v>2</v>
      </c>
      <c r="E118">
        <v>0</v>
      </c>
    </row>
    <row r="119" spans="1:5" x14ac:dyDescent="0.25">
      <c r="A119">
        <v>118</v>
      </c>
      <c r="B119">
        <v>11</v>
      </c>
      <c r="C119" t="s">
        <v>320</v>
      </c>
      <c r="D119">
        <v>2</v>
      </c>
      <c r="E119">
        <v>2</v>
      </c>
    </row>
    <row r="120" spans="1:5" x14ac:dyDescent="0.25">
      <c r="A120">
        <v>119</v>
      </c>
      <c r="B120">
        <v>11</v>
      </c>
      <c r="C120" t="s">
        <v>322</v>
      </c>
      <c r="D120">
        <v>2</v>
      </c>
      <c r="E120">
        <v>2</v>
      </c>
    </row>
    <row r="121" spans="1:5" x14ac:dyDescent="0.25">
      <c r="A121">
        <v>120</v>
      </c>
      <c r="B121">
        <v>11</v>
      </c>
      <c r="C121" t="s">
        <v>321</v>
      </c>
      <c r="D121">
        <v>2</v>
      </c>
      <c r="E121">
        <v>0</v>
      </c>
    </row>
    <row r="122" spans="1:5" x14ac:dyDescent="0.25">
      <c r="A122">
        <v>121</v>
      </c>
      <c r="B122">
        <v>12</v>
      </c>
      <c r="C122" t="s">
        <v>318</v>
      </c>
      <c r="D122">
        <v>5</v>
      </c>
      <c r="E122">
        <v>0</v>
      </c>
    </row>
    <row r="123" spans="1:5" x14ac:dyDescent="0.25">
      <c r="A123">
        <v>122</v>
      </c>
      <c r="B123">
        <v>12</v>
      </c>
      <c r="C123" t="s">
        <v>326</v>
      </c>
      <c r="D123">
        <v>5</v>
      </c>
      <c r="E123">
        <v>5</v>
      </c>
    </row>
    <row r="124" spans="1:5" x14ac:dyDescent="0.25">
      <c r="A124">
        <v>123</v>
      </c>
      <c r="B124">
        <v>12</v>
      </c>
      <c r="C124" t="s">
        <v>327</v>
      </c>
      <c r="D124">
        <v>5</v>
      </c>
      <c r="E124">
        <v>0</v>
      </c>
    </row>
    <row r="125" spans="1:5" x14ac:dyDescent="0.25">
      <c r="A125">
        <v>124</v>
      </c>
      <c r="B125">
        <v>12</v>
      </c>
      <c r="C125" t="s">
        <v>320</v>
      </c>
      <c r="D125">
        <v>5</v>
      </c>
      <c r="E125">
        <v>5</v>
      </c>
    </row>
    <row r="126" spans="1:5" x14ac:dyDescent="0.25">
      <c r="A126">
        <v>125</v>
      </c>
      <c r="B126">
        <v>12</v>
      </c>
      <c r="C126" t="s">
        <v>322</v>
      </c>
      <c r="D126">
        <v>5</v>
      </c>
      <c r="E126">
        <v>5</v>
      </c>
    </row>
    <row r="127" spans="1:5" x14ac:dyDescent="0.25">
      <c r="A127">
        <v>126</v>
      </c>
      <c r="B127">
        <v>12</v>
      </c>
      <c r="C127" t="s">
        <v>321</v>
      </c>
      <c r="D127">
        <v>5</v>
      </c>
      <c r="E127">
        <v>5</v>
      </c>
    </row>
    <row r="128" spans="1:5" x14ac:dyDescent="0.25">
      <c r="A128">
        <v>127</v>
      </c>
      <c r="B128">
        <v>13</v>
      </c>
      <c r="C128" t="s">
        <v>318</v>
      </c>
      <c r="D128">
        <v>10</v>
      </c>
      <c r="E128">
        <v>10</v>
      </c>
    </row>
    <row r="129" spans="1:5" x14ac:dyDescent="0.25">
      <c r="A129">
        <v>128</v>
      </c>
      <c r="B129">
        <v>13</v>
      </c>
      <c r="C129" t="s">
        <v>326</v>
      </c>
      <c r="D129">
        <v>10</v>
      </c>
      <c r="E129">
        <v>10</v>
      </c>
    </row>
    <row r="130" spans="1:5" x14ac:dyDescent="0.25">
      <c r="A130">
        <v>129</v>
      </c>
      <c r="B130">
        <v>13</v>
      </c>
      <c r="C130" t="s">
        <v>327</v>
      </c>
      <c r="D130">
        <v>10</v>
      </c>
      <c r="E130">
        <v>10</v>
      </c>
    </row>
    <row r="131" spans="1:5" x14ac:dyDescent="0.25">
      <c r="A131">
        <v>130</v>
      </c>
      <c r="B131">
        <v>13</v>
      </c>
      <c r="C131" t="s">
        <v>320</v>
      </c>
      <c r="D131">
        <v>10</v>
      </c>
      <c r="E131">
        <v>10</v>
      </c>
    </row>
    <row r="132" spans="1:5" x14ac:dyDescent="0.25">
      <c r="A132">
        <v>131</v>
      </c>
      <c r="B132">
        <v>13</v>
      </c>
      <c r="C132" t="s">
        <v>322</v>
      </c>
      <c r="D132">
        <v>10</v>
      </c>
      <c r="E132">
        <v>10</v>
      </c>
    </row>
    <row r="133" spans="1:5" x14ac:dyDescent="0.25">
      <c r="A133">
        <v>132</v>
      </c>
      <c r="B133">
        <v>14</v>
      </c>
      <c r="C133" t="s">
        <v>319</v>
      </c>
      <c r="D133">
        <v>3</v>
      </c>
      <c r="E133">
        <v>3</v>
      </c>
    </row>
    <row r="134" spans="1:5" x14ac:dyDescent="0.25">
      <c r="A134">
        <v>133</v>
      </c>
      <c r="B134">
        <v>14</v>
      </c>
      <c r="C134" t="s">
        <v>318</v>
      </c>
      <c r="D134">
        <v>3</v>
      </c>
      <c r="E134">
        <v>0</v>
      </c>
    </row>
    <row r="135" spans="1:5" x14ac:dyDescent="0.25">
      <c r="A135">
        <v>134</v>
      </c>
      <c r="B135">
        <v>14</v>
      </c>
      <c r="C135" t="s">
        <v>326</v>
      </c>
      <c r="D135">
        <v>3</v>
      </c>
      <c r="E135">
        <v>0</v>
      </c>
    </row>
    <row r="136" spans="1:5" x14ac:dyDescent="0.25">
      <c r="A136">
        <v>135</v>
      </c>
      <c r="B136">
        <v>14</v>
      </c>
      <c r="C136" t="s">
        <v>327</v>
      </c>
      <c r="D136">
        <v>3</v>
      </c>
      <c r="E136">
        <v>0</v>
      </c>
    </row>
    <row r="137" spans="1:5" x14ac:dyDescent="0.25">
      <c r="A137">
        <v>136</v>
      </c>
      <c r="B137">
        <v>14</v>
      </c>
      <c r="C137" t="s">
        <v>320</v>
      </c>
      <c r="D137">
        <v>3</v>
      </c>
      <c r="E137">
        <v>0</v>
      </c>
    </row>
    <row r="138" spans="1:5" x14ac:dyDescent="0.25">
      <c r="A138">
        <v>137</v>
      </c>
      <c r="B138">
        <v>15</v>
      </c>
      <c r="C138" t="s">
        <v>318</v>
      </c>
      <c r="D138">
        <v>23</v>
      </c>
      <c r="E138">
        <v>0</v>
      </c>
    </row>
    <row r="139" spans="1:5" x14ac:dyDescent="0.25">
      <c r="A139">
        <v>138</v>
      </c>
      <c r="B139">
        <v>15</v>
      </c>
      <c r="C139" t="s">
        <v>326</v>
      </c>
      <c r="D139">
        <v>23</v>
      </c>
      <c r="E139">
        <v>23</v>
      </c>
    </row>
    <row r="140" spans="1:5" x14ac:dyDescent="0.25">
      <c r="A140">
        <v>139</v>
      </c>
      <c r="B140">
        <v>15</v>
      </c>
      <c r="C140" t="s">
        <v>327</v>
      </c>
      <c r="D140">
        <v>23</v>
      </c>
      <c r="E140">
        <v>0</v>
      </c>
    </row>
    <row r="141" spans="1:5" x14ac:dyDescent="0.25">
      <c r="A141">
        <v>140</v>
      </c>
      <c r="B141">
        <v>15</v>
      </c>
      <c r="C141" t="s">
        <v>320</v>
      </c>
      <c r="D141">
        <v>23</v>
      </c>
      <c r="E141">
        <v>23</v>
      </c>
    </row>
    <row r="142" spans="1:5" x14ac:dyDescent="0.25">
      <c r="A142">
        <v>141</v>
      </c>
      <c r="B142">
        <v>15</v>
      </c>
      <c r="C142" t="s">
        <v>322</v>
      </c>
      <c r="D142">
        <v>23</v>
      </c>
      <c r="E142">
        <v>23</v>
      </c>
    </row>
    <row r="143" spans="1:5" x14ac:dyDescent="0.25">
      <c r="A143">
        <v>142</v>
      </c>
      <c r="B143">
        <v>16</v>
      </c>
      <c r="C143" t="s">
        <v>318</v>
      </c>
      <c r="D143">
        <v>25</v>
      </c>
      <c r="E143">
        <v>25</v>
      </c>
    </row>
    <row r="144" spans="1:5" x14ac:dyDescent="0.25">
      <c r="A144">
        <v>143</v>
      </c>
      <c r="B144">
        <v>16</v>
      </c>
      <c r="C144" t="s">
        <v>326</v>
      </c>
      <c r="D144">
        <v>25</v>
      </c>
      <c r="E144">
        <v>25</v>
      </c>
    </row>
    <row r="145" spans="1:5" x14ac:dyDescent="0.25">
      <c r="A145">
        <v>144</v>
      </c>
      <c r="B145">
        <v>16</v>
      </c>
      <c r="C145" t="s">
        <v>327</v>
      </c>
      <c r="D145">
        <v>25</v>
      </c>
      <c r="E145">
        <v>25</v>
      </c>
    </row>
    <row r="146" spans="1:5" x14ac:dyDescent="0.25">
      <c r="A146">
        <v>145</v>
      </c>
      <c r="B146">
        <v>16</v>
      </c>
      <c r="C146" t="s">
        <v>320</v>
      </c>
      <c r="D146">
        <v>25</v>
      </c>
      <c r="E146">
        <v>25</v>
      </c>
    </row>
    <row r="147" spans="1:5" x14ac:dyDescent="0.25">
      <c r="A147">
        <v>146</v>
      </c>
      <c r="B147">
        <v>16</v>
      </c>
      <c r="C147" t="s">
        <v>322</v>
      </c>
      <c r="D147">
        <v>25</v>
      </c>
      <c r="E147">
        <v>25</v>
      </c>
    </row>
    <row r="148" spans="1:5" x14ac:dyDescent="0.25">
      <c r="A148">
        <v>147</v>
      </c>
      <c r="B148">
        <v>16</v>
      </c>
      <c r="C148" t="s">
        <v>321</v>
      </c>
      <c r="D148">
        <v>25</v>
      </c>
      <c r="E148">
        <v>25</v>
      </c>
    </row>
    <row r="149" spans="1:5" x14ac:dyDescent="0.25">
      <c r="A149">
        <v>148</v>
      </c>
      <c r="B149">
        <v>17</v>
      </c>
      <c r="C149" t="s">
        <v>318</v>
      </c>
      <c r="D149">
        <v>2</v>
      </c>
      <c r="E149">
        <v>2</v>
      </c>
    </row>
    <row r="150" spans="1:5" x14ac:dyDescent="0.25">
      <c r="A150">
        <v>149</v>
      </c>
      <c r="B150">
        <v>17</v>
      </c>
      <c r="C150" t="s">
        <v>326</v>
      </c>
      <c r="D150">
        <v>2</v>
      </c>
      <c r="E150">
        <v>0</v>
      </c>
    </row>
    <row r="151" spans="1:5" x14ac:dyDescent="0.25">
      <c r="A151">
        <v>150</v>
      </c>
      <c r="B151">
        <v>17</v>
      </c>
      <c r="C151" t="s">
        <v>327</v>
      </c>
      <c r="D151">
        <v>2</v>
      </c>
      <c r="E151">
        <v>2</v>
      </c>
    </row>
    <row r="152" spans="1:5" x14ac:dyDescent="0.25">
      <c r="A152">
        <v>151</v>
      </c>
      <c r="B152">
        <v>17</v>
      </c>
      <c r="C152" t="s">
        <v>320</v>
      </c>
      <c r="D152">
        <v>2</v>
      </c>
      <c r="E152">
        <v>2</v>
      </c>
    </row>
    <row r="153" spans="1:5" x14ac:dyDescent="0.25">
      <c r="A153">
        <v>152</v>
      </c>
      <c r="B153">
        <v>17</v>
      </c>
      <c r="C153" t="s">
        <v>322</v>
      </c>
      <c r="D153">
        <v>2</v>
      </c>
      <c r="E153">
        <v>2</v>
      </c>
    </row>
    <row r="154" spans="1:5" x14ac:dyDescent="0.25">
      <c r="A154">
        <v>153</v>
      </c>
      <c r="B154">
        <v>18</v>
      </c>
      <c r="C154" t="s">
        <v>319</v>
      </c>
      <c r="D154">
        <v>9</v>
      </c>
      <c r="E154">
        <v>9</v>
      </c>
    </row>
    <row r="155" spans="1:5" x14ac:dyDescent="0.25">
      <c r="A155">
        <v>154</v>
      </c>
      <c r="B155">
        <v>18</v>
      </c>
      <c r="C155" t="s">
        <v>318</v>
      </c>
      <c r="D155">
        <v>9</v>
      </c>
      <c r="E155">
        <v>9</v>
      </c>
    </row>
    <row r="156" spans="1:5" x14ac:dyDescent="0.25">
      <c r="A156">
        <v>155</v>
      </c>
      <c r="B156">
        <v>18</v>
      </c>
      <c r="C156" t="s">
        <v>326</v>
      </c>
      <c r="D156">
        <v>9</v>
      </c>
      <c r="E156">
        <v>0</v>
      </c>
    </row>
    <row r="157" spans="1:5" x14ac:dyDescent="0.25">
      <c r="A157">
        <v>156</v>
      </c>
      <c r="B157">
        <v>18</v>
      </c>
      <c r="C157" t="s">
        <v>327</v>
      </c>
      <c r="D157">
        <v>9</v>
      </c>
      <c r="E157">
        <v>0</v>
      </c>
    </row>
    <row r="158" spans="1:5" x14ac:dyDescent="0.25">
      <c r="A158">
        <v>157</v>
      </c>
      <c r="B158">
        <v>18</v>
      </c>
      <c r="C158" t="s">
        <v>320</v>
      </c>
      <c r="D158">
        <v>9</v>
      </c>
      <c r="E158">
        <v>9</v>
      </c>
    </row>
    <row r="159" spans="1:5" x14ac:dyDescent="0.25">
      <c r="A159">
        <v>158</v>
      </c>
      <c r="B159">
        <v>18</v>
      </c>
      <c r="C159" t="s">
        <v>322</v>
      </c>
      <c r="D159">
        <v>9</v>
      </c>
      <c r="E159">
        <v>0</v>
      </c>
    </row>
    <row r="160" spans="1:5" x14ac:dyDescent="0.25">
      <c r="A160">
        <v>159</v>
      </c>
      <c r="B160">
        <v>19</v>
      </c>
      <c r="C160" t="s">
        <v>319</v>
      </c>
      <c r="D160">
        <v>3</v>
      </c>
      <c r="E160">
        <v>3</v>
      </c>
    </row>
    <row r="161" spans="1:5" x14ac:dyDescent="0.25">
      <c r="A161">
        <v>160</v>
      </c>
      <c r="B161">
        <v>19</v>
      </c>
      <c r="C161" t="s">
        <v>318</v>
      </c>
      <c r="D161">
        <v>3</v>
      </c>
      <c r="E161">
        <v>3</v>
      </c>
    </row>
    <row r="162" spans="1:5" x14ac:dyDescent="0.25">
      <c r="A162">
        <v>161</v>
      </c>
      <c r="B162">
        <v>19</v>
      </c>
      <c r="C162" t="s">
        <v>328</v>
      </c>
      <c r="D162">
        <v>3</v>
      </c>
      <c r="E162">
        <v>0</v>
      </c>
    </row>
    <row r="163" spans="1:5" x14ac:dyDescent="0.25">
      <c r="A163">
        <v>162</v>
      </c>
      <c r="B163">
        <v>19</v>
      </c>
      <c r="C163" t="s">
        <v>326</v>
      </c>
      <c r="D163">
        <v>3</v>
      </c>
      <c r="E163">
        <v>0</v>
      </c>
    </row>
    <row r="164" spans="1:5" x14ac:dyDescent="0.25">
      <c r="A164">
        <v>163</v>
      </c>
      <c r="B164">
        <v>19</v>
      </c>
      <c r="C164" t="s">
        <v>329</v>
      </c>
      <c r="D164">
        <v>3</v>
      </c>
      <c r="E164">
        <v>0</v>
      </c>
    </row>
    <row r="165" spans="1:5" x14ac:dyDescent="0.25">
      <c r="A165">
        <v>164</v>
      </c>
      <c r="B165">
        <v>19</v>
      </c>
      <c r="C165" t="s">
        <v>327</v>
      </c>
      <c r="D165">
        <v>3</v>
      </c>
      <c r="E165">
        <v>0</v>
      </c>
    </row>
    <row r="166" spans="1:5" x14ac:dyDescent="0.25">
      <c r="A166">
        <v>165</v>
      </c>
      <c r="B166">
        <v>19</v>
      </c>
      <c r="C166" t="s">
        <v>330</v>
      </c>
      <c r="D166">
        <v>3</v>
      </c>
      <c r="E166">
        <v>0</v>
      </c>
    </row>
    <row r="167" spans="1:5" x14ac:dyDescent="0.25">
      <c r="A167">
        <v>166</v>
      </c>
      <c r="B167">
        <v>19</v>
      </c>
      <c r="C167" t="s">
        <v>320</v>
      </c>
      <c r="D167">
        <v>3</v>
      </c>
      <c r="E167">
        <v>0</v>
      </c>
    </row>
    <row r="168" spans="1:5" x14ac:dyDescent="0.25">
      <c r="A168">
        <v>167</v>
      </c>
      <c r="B168">
        <v>19</v>
      </c>
      <c r="C168" t="s">
        <v>331</v>
      </c>
      <c r="D168">
        <v>3</v>
      </c>
      <c r="E168">
        <v>0</v>
      </c>
    </row>
    <row r="169" spans="1:5" x14ac:dyDescent="0.25">
      <c r="A169">
        <v>168</v>
      </c>
      <c r="B169">
        <v>19</v>
      </c>
      <c r="C169" t="s">
        <v>322</v>
      </c>
      <c r="D169">
        <v>3</v>
      </c>
      <c r="E169">
        <v>0</v>
      </c>
    </row>
    <row r="170" spans="1:5" x14ac:dyDescent="0.25">
      <c r="A170">
        <v>169</v>
      </c>
      <c r="B170">
        <v>20</v>
      </c>
      <c r="C170" t="s">
        <v>319</v>
      </c>
      <c r="D170">
        <v>5</v>
      </c>
      <c r="E170">
        <v>0</v>
      </c>
    </row>
    <row r="171" spans="1:5" x14ac:dyDescent="0.25">
      <c r="A171">
        <v>170</v>
      </c>
      <c r="B171">
        <v>20</v>
      </c>
      <c r="C171" t="s">
        <v>318</v>
      </c>
      <c r="D171">
        <v>5</v>
      </c>
      <c r="E171">
        <v>0</v>
      </c>
    </row>
    <row r="172" spans="1:5" x14ac:dyDescent="0.25">
      <c r="A172">
        <v>171</v>
      </c>
      <c r="B172">
        <v>20</v>
      </c>
      <c r="C172" t="s">
        <v>328</v>
      </c>
      <c r="D172">
        <v>5</v>
      </c>
      <c r="E172">
        <v>0</v>
      </c>
    </row>
    <row r="173" spans="1:5" x14ac:dyDescent="0.25">
      <c r="A173">
        <v>172</v>
      </c>
      <c r="B173">
        <v>20</v>
      </c>
      <c r="C173" t="s">
        <v>326</v>
      </c>
      <c r="D173">
        <v>5</v>
      </c>
      <c r="E173">
        <v>5</v>
      </c>
    </row>
    <row r="174" spans="1:5" x14ac:dyDescent="0.25">
      <c r="A174">
        <v>173</v>
      </c>
      <c r="B174">
        <v>20</v>
      </c>
      <c r="C174" t="s">
        <v>329</v>
      </c>
      <c r="D174">
        <v>5</v>
      </c>
      <c r="E174">
        <v>5</v>
      </c>
    </row>
    <row r="175" spans="1:5" x14ac:dyDescent="0.25">
      <c r="A175">
        <v>174</v>
      </c>
      <c r="B175">
        <v>20</v>
      </c>
      <c r="C175" t="s">
        <v>327</v>
      </c>
      <c r="D175">
        <v>5</v>
      </c>
      <c r="E175">
        <v>5</v>
      </c>
    </row>
    <row r="176" spans="1:5" x14ac:dyDescent="0.25">
      <c r="A176">
        <v>175</v>
      </c>
      <c r="B176">
        <v>20</v>
      </c>
      <c r="C176" t="s">
        <v>330</v>
      </c>
      <c r="D176">
        <v>5</v>
      </c>
      <c r="E176">
        <v>5</v>
      </c>
    </row>
    <row r="177" spans="1:5" x14ac:dyDescent="0.25">
      <c r="A177">
        <v>176</v>
      </c>
      <c r="B177">
        <v>20</v>
      </c>
      <c r="C177" t="s">
        <v>320</v>
      </c>
      <c r="D177">
        <v>5</v>
      </c>
      <c r="E177">
        <v>0</v>
      </c>
    </row>
    <row r="178" spans="1:5" x14ac:dyDescent="0.25">
      <c r="A178">
        <v>177</v>
      </c>
      <c r="B178">
        <v>20</v>
      </c>
      <c r="C178" t="s">
        <v>331</v>
      </c>
      <c r="D178">
        <v>5</v>
      </c>
      <c r="E178">
        <v>0</v>
      </c>
    </row>
    <row r="179" spans="1:5" x14ac:dyDescent="0.25">
      <c r="A179">
        <v>178</v>
      </c>
      <c r="B179">
        <v>20</v>
      </c>
      <c r="C179" t="s">
        <v>322</v>
      </c>
      <c r="D179">
        <v>5</v>
      </c>
      <c r="E179">
        <v>0</v>
      </c>
    </row>
    <row r="180" spans="1:5" x14ac:dyDescent="0.25">
      <c r="A180">
        <v>179</v>
      </c>
      <c r="B180">
        <v>21</v>
      </c>
      <c r="C180" t="s">
        <v>319</v>
      </c>
      <c r="D180">
        <v>16</v>
      </c>
      <c r="E180">
        <v>16</v>
      </c>
    </row>
    <row r="181" spans="1:5" x14ac:dyDescent="0.25">
      <c r="A181">
        <v>180</v>
      </c>
      <c r="B181">
        <v>21</v>
      </c>
      <c r="C181" t="s">
        <v>318</v>
      </c>
      <c r="D181">
        <v>16</v>
      </c>
      <c r="E181">
        <v>16</v>
      </c>
    </row>
    <row r="182" spans="1:5" x14ac:dyDescent="0.25">
      <c r="A182">
        <v>181</v>
      </c>
      <c r="B182">
        <v>21</v>
      </c>
      <c r="C182" t="s">
        <v>326</v>
      </c>
      <c r="D182">
        <v>16</v>
      </c>
      <c r="E182">
        <v>16</v>
      </c>
    </row>
    <row r="183" spans="1:5" x14ac:dyDescent="0.25">
      <c r="A183">
        <v>182</v>
      </c>
      <c r="B183">
        <v>21</v>
      </c>
      <c r="C183" t="s">
        <v>327</v>
      </c>
      <c r="D183">
        <v>16</v>
      </c>
      <c r="E183">
        <v>16</v>
      </c>
    </row>
    <row r="184" spans="1:5" x14ac:dyDescent="0.25">
      <c r="A184">
        <v>183</v>
      </c>
      <c r="B184">
        <v>21</v>
      </c>
      <c r="C184" t="s">
        <v>320</v>
      </c>
      <c r="D184">
        <v>16</v>
      </c>
      <c r="E184">
        <v>16</v>
      </c>
    </row>
    <row r="185" spans="1:5" x14ac:dyDescent="0.25">
      <c r="A185">
        <v>184</v>
      </c>
      <c r="B185">
        <v>21</v>
      </c>
      <c r="C185" t="s">
        <v>322</v>
      </c>
      <c r="D185">
        <v>16</v>
      </c>
      <c r="E185">
        <v>16</v>
      </c>
    </row>
    <row r="186" spans="1:5" x14ac:dyDescent="0.25">
      <c r="A186">
        <v>185</v>
      </c>
      <c r="B186">
        <v>22</v>
      </c>
      <c r="C186" t="s">
        <v>319</v>
      </c>
      <c r="D186">
        <v>3</v>
      </c>
      <c r="E186">
        <v>3</v>
      </c>
    </row>
    <row r="187" spans="1:5" x14ac:dyDescent="0.25">
      <c r="A187">
        <v>186</v>
      </c>
      <c r="B187">
        <v>22</v>
      </c>
      <c r="C187" t="s">
        <v>318</v>
      </c>
      <c r="D187">
        <v>3</v>
      </c>
      <c r="E187">
        <v>0</v>
      </c>
    </row>
    <row r="188" spans="1:5" x14ac:dyDescent="0.25">
      <c r="A188">
        <v>187</v>
      </c>
      <c r="B188">
        <v>22</v>
      </c>
      <c r="C188" t="s">
        <v>328</v>
      </c>
      <c r="D188">
        <v>3</v>
      </c>
      <c r="E188">
        <v>0</v>
      </c>
    </row>
    <row r="189" spans="1:5" x14ac:dyDescent="0.25">
      <c r="A189">
        <v>188</v>
      </c>
      <c r="B189">
        <v>22</v>
      </c>
      <c r="C189" t="s">
        <v>326</v>
      </c>
      <c r="D189">
        <v>3</v>
      </c>
      <c r="E189">
        <v>0</v>
      </c>
    </row>
    <row r="190" spans="1:5" x14ac:dyDescent="0.25">
      <c r="A190">
        <v>189</v>
      </c>
      <c r="B190">
        <v>22</v>
      </c>
      <c r="C190" t="s">
        <v>329</v>
      </c>
      <c r="D190">
        <v>3</v>
      </c>
      <c r="E190">
        <v>0</v>
      </c>
    </row>
    <row r="191" spans="1:5" x14ac:dyDescent="0.25">
      <c r="A191">
        <v>190</v>
      </c>
      <c r="B191">
        <v>22</v>
      </c>
      <c r="C191" t="s">
        <v>327</v>
      </c>
      <c r="D191">
        <v>3</v>
      </c>
      <c r="E191">
        <v>3</v>
      </c>
    </row>
    <row r="192" spans="1:5" x14ac:dyDescent="0.25">
      <c r="A192">
        <v>191</v>
      </c>
      <c r="B192">
        <v>22</v>
      </c>
      <c r="C192" t="s">
        <v>330</v>
      </c>
      <c r="D192">
        <v>3</v>
      </c>
      <c r="E192">
        <v>0</v>
      </c>
    </row>
    <row r="193" spans="1:5" x14ac:dyDescent="0.25">
      <c r="A193">
        <v>192</v>
      </c>
      <c r="B193">
        <v>22</v>
      </c>
      <c r="C193" t="s">
        <v>320</v>
      </c>
      <c r="D193">
        <v>3</v>
      </c>
      <c r="E193">
        <v>0</v>
      </c>
    </row>
    <row r="194" spans="1:5" x14ac:dyDescent="0.25">
      <c r="A194">
        <v>193</v>
      </c>
      <c r="B194">
        <v>22</v>
      </c>
      <c r="C194" t="s">
        <v>331</v>
      </c>
      <c r="D194">
        <v>3</v>
      </c>
      <c r="E194">
        <v>0</v>
      </c>
    </row>
    <row r="195" spans="1:5" x14ac:dyDescent="0.25">
      <c r="A195">
        <v>194</v>
      </c>
      <c r="B195">
        <v>22</v>
      </c>
      <c r="C195" t="s">
        <v>322</v>
      </c>
      <c r="D195">
        <v>3</v>
      </c>
      <c r="E195">
        <v>0</v>
      </c>
    </row>
    <row r="196" spans="1:5" x14ac:dyDescent="0.25">
      <c r="A196">
        <v>195</v>
      </c>
      <c r="B196">
        <v>23</v>
      </c>
      <c r="C196" t="s">
        <v>320</v>
      </c>
      <c r="D196">
        <v>18</v>
      </c>
      <c r="E196">
        <v>0</v>
      </c>
    </row>
    <row r="197" spans="1:5" x14ac:dyDescent="0.25">
      <c r="A197">
        <v>196</v>
      </c>
      <c r="B197">
        <v>23</v>
      </c>
      <c r="C197" t="s">
        <v>331</v>
      </c>
      <c r="D197">
        <v>18</v>
      </c>
      <c r="E197">
        <v>0</v>
      </c>
    </row>
    <row r="198" spans="1:5" x14ac:dyDescent="0.25">
      <c r="A198">
        <v>197</v>
      </c>
      <c r="B198">
        <v>23</v>
      </c>
      <c r="C198" t="s">
        <v>322</v>
      </c>
      <c r="D198">
        <v>18</v>
      </c>
      <c r="E198">
        <v>0</v>
      </c>
    </row>
    <row r="199" spans="1:5" x14ac:dyDescent="0.25">
      <c r="A199">
        <v>198</v>
      </c>
      <c r="B199">
        <v>23</v>
      </c>
      <c r="C199" t="s">
        <v>332</v>
      </c>
      <c r="D199">
        <v>18</v>
      </c>
      <c r="E199">
        <v>0</v>
      </c>
    </row>
    <row r="200" spans="1:5" x14ac:dyDescent="0.25">
      <c r="A200">
        <v>199</v>
      </c>
      <c r="B200">
        <v>23</v>
      </c>
      <c r="C200" t="s">
        <v>321</v>
      </c>
      <c r="D200">
        <v>18</v>
      </c>
      <c r="E200">
        <v>18</v>
      </c>
    </row>
    <row r="201" spans="1:5" x14ac:dyDescent="0.25">
      <c r="A201">
        <v>200</v>
      </c>
      <c r="B201">
        <v>23</v>
      </c>
      <c r="C201" t="s">
        <v>333</v>
      </c>
      <c r="D201">
        <v>18</v>
      </c>
      <c r="E201">
        <v>18</v>
      </c>
    </row>
    <row r="202" spans="1:5" x14ac:dyDescent="0.25">
      <c r="A202">
        <v>201</v>
      </c>
      <c r="B202">
        <v>23</v>
      </c>
      <c r="C202" t="s">
        <v>334</v>
      </c>
      <c r="D202">
        <v>18</v>
      </c>
      <c r="E202">
        <v>18</v>
      </c>
    </row>
    <row r="203" spans="1:5" x14ac:dyDescent="0.25">
      <c r="A203">
        <v>202</v>
      </c>
      <c r="B203">
        <v>23</v>
      </c>
      <c r="C203" t="s">
        <v>335</v>
      </c>
      <c r="D203">
        <v>18</v>
      </c>
      <c r="E203">
        <v>18</v>
      </c>
    </row>
    <row r="204" spans="1:5" x14ac:dyDescent="0.25">
      <c r="A204">
        <v>203</v>
      </c>
      <c r="B204">
        <v>23</v>
      </c>
      <c r="C204" t="s">
        <v>336</v>
      </c>
      <c r="D204">
        <v>18</v>
      </c>
      <c r="E204">
        <v>18</v>
      </c>
    </row>
    <row r="205" spans="1:5" x14ac:dyDescent="0.25">
      <c r="A205">
        <v>204</v>
      </c>
      <c r="B205">
        <v>23</v>
      </c>
      <c r="C205" t="s">
        <v>337</v>
      </c>
      <c r="D205">
        <v>18</v>
      </c>
      <c r="E205">
        <v>18</v>
      </c>
    </row>
    <row r="206" spans="1:5" x14ac:dyDescent="0.25">
      <c r="A206">
        <v>205</v>
      </c>
      <c r="B206">
        <v>23</v>
      </c>
      <c r="C206" t="s">
        <v>338</v>
      </c>
      <c r="D206">
        <v>18</v>
      </c>
      <c r="E206">
        <v>18</v>
      </c>
    </row>
    <row r="207" spans="1:5" x14ac:dyDescent="0.25">
      <c r="A207">
        <v>206</v>
      </c>
      <c r="B207">
        <v>24</v>
      </c>
      <c r="C207" t="s">
        <v>319</v>
      </c>
      <c r="D207">
        <v>50</v>
      </c>
      <c r="E207">
        <v>50</v>
      </c>
    </row>
    <row r="208" spans="1:5" x14ac:dyDescent="0.25">
      <c r="A208">
        <v>207</v>
      </c>
      <c r="B208">
        <v>24</v>
      </c>
      <c r="C208" t="s">
        <v>318</v>
      </c>
      <c r="D208">
        <v>50</v>
      </c>
      <c r="E208">
        <v>50</v>
      </c>
    </row>
    <row r="209" spans="1:5" x14ac:dyDescent="0.25">
      <c r="A209">
        <v>208</v>
      </c>
      <c r="B209">
        <v>24</v>
      </c>
      <c r="C209" t="s">
        <v>328</v>
      </c>
      <c r="D209">
        <v>50</v>
      </c>
      <c r="E209">
        <v>50</v>
      </c>
    </row>
    <row r="210" spans="1:5" x14ac:dyDescent="0.25">
      <c r="A210">
        <v>209</v>
      </c>
      <c r="B210">
        <v>24</v>
      </c>
      <c r="C210" t="s">
        <v>326</v>
      </c>
      <c r="D210">
        <v>50</v>
      </c>
      <c r="E210">
        <v>50</v>
      </c>
    </row>
    <row r="211" spans="1:5" x14ac:dyDescent="0.25">
      <c r="A211">
        <v>210</v>
      </c>
      <c r="B211">
        <v>24</v>
      </c>
      <c r="C211" t="s">
        <v>329</v>
      </c>
      <c r="D211">
        <v>50</v>
      </c>
      <c r="E211">
        <v>50</v>
      </c>
    </row>
    <row r="212" spans="1:5" x14ac:dyDescent="0.25">
      <c r="A212">
        <v>211</v>
      </c>
      <c r="B212">
        <v>24</v>
      </c>
      <c r="C212" t="s">
        <v>327</v>
      </c>
      <c r="D212">
        <v>50</v>
      </c>
      <c r="E212">
        <v>50</v>
      </c>
    </row>
    <row r="213" spans="1:5" x14ac:dyDescent="0.25">
      <c r="A213">
        <v>212</v>
      </c>
      <c r="B213">
        <v>24</v>
      </c>
      <c r="C213" t="s">
        <v>330</v>
      </c>
      <c r="D213">
        <v>50</v>
      </c>
      <c r="E213">
        <v>50</v>
      </c>
    </row>
    <row r="214" spans="1:5" x14ac:dyDescent="0.25">
      <c r="A214">
        <v>213</v>
      </c>
      <c r="B214">
        <v>24</v>
      </c>
      <c r="C214" t="s">
        <v>320</v>
      </c>
      <c r="D214">
        <v>50</v>
      </c>
      <c r="E214">
        <v>50</v>
      </c>
    </row>
    <row r="215" spans="1:5" x14ac:dyDescent="0.25">
      <c r="A215">
        <v>214</v>
      </c>
      <c r="B215">
        <v>24</v>
      </c>
      <c r="C215" t="s">
        <v>331</v>
      </c>
      <c r="D215">
        <v>50</v>
      </c>
      <c r="E215">
        <v>50</v>
      </c>
    </row>
    <row r="216" spans="1:5" x14ac:dyDescent="0.25">
      <c r="A216">
        <v>215</v>
      </c>
      <c r="B216">
        <v>24</v>
      </c>
      <c r="C216" t="s">
        <v>322</v>
      </c>
      <c r="D216">
        <v>50</v>
      </c>
      <c r="E216">
        <v>50</v>
      </c>
    </row>
    <row r="217" spans="1:5" x14ac:dyDescent="0.25">
      <c r="A217">
        <v>216</v>
      </c>
      <c r="B217">
        <v>24</v>
      </c>
      <c r="C217" t="s">
        <v>321</v>
      </c>
      <c r="D217">
        <v>50</v>
      </c>
      <c r="E217">
        <v>50</v>
      </c>
    </row>
    <row r="218" spans="1:5" x14ac:dyDescent="0.25">
      <c r="A218">
        <v>217</v>
      </c>
      <c r="B218">
        <v>24</v>
      </c>
      <c r="C218" t="s">
        <v>334</v>
      </c>
      <c r="D218">
        <v>50</v>
      </c>
      <c r="E218">
        <v>50</v>
      </c>
    </row>
    <row r="219" spans="1:5" x14ac:dyDescent="0.25">
      <c r="A219">
        <v>218</v>
      </c>
      <c r="B219">
        <v>24</v>
      </c>
      <c r="C219" t="s">
        <v>336</v>
      </c>
      <c r="D219">
        <v>50</v>
      </c>
      <c r="E219">
        <v>50</v>
      </c>
    </row>
    <row r="220" spans="1:5" x14ac:dyDescent="0.25">
      <c r="A220">
        <v>219</v>
      </c>
      <c r="B220">
        <v>24</v>
      </c>
      <c r="C220" t="s">
        <v>337</v>
      </c>
      <c r="D220">
        <v>50</v>
      </c>
      <c r="E220">
        <v>50</v>
      </c>
    </row>
    <row r="221" spans="1:5" x14ac:dyDescent="0.25">
      <c r="A221">
        <v>220</v>
      </c>
      <c r="B221">
        <v>24</v>
      </c>
      <c r="C221" t="s">
        <v>338</v>
      </c>
      <c r="D221">
        <v>50</v>
      </c>
      <c r="E221">
        <v>50</v>
      </c>
    </row>
    <row r="222" spans="1:5" x14ac:dyDescent="0.25">
      <c r="A222">
        <v>221</v>
      </c>
      <c r="B222">
        <v>25</v>
      </c>
      <c r="C222" t="s">
        <v>321</v>
      </c>
      <c r="D222">
        <v>1</v>
      </c>
      <c r="E222">
        <v>1</v>
      </c>
    </row>
    <row r="223" spans="1:5" x14ac:dyDescent="0.25">
      <c r="A223">
        <v>222</v>
      </c>
      <c r="B223">
        <v>25</v>
      </c>
      <c r="C223" t="s">
        <v>334</v>
      </c>
      <c r="D223">
        <v>1</v>
      </c>
      <c r="E223">
        <v>1</v>
      </c>
    </row>
    <row r="224" spans="1:5" x14ac:dyDescent="0.25">
      <c r="A224">
        <v>223</v>
      </c>
      <c r="B224">
        <v>25</v>
      </c>
      <c r="C224" t="s">
        <v>336</v>
      </c>
      <c r="D224">
        <v>1</v>
      </c>
      <c r="E224">
        <v>0</v>
      </c>
    </row>
    <row r="225" spans="1:5" x14ac:dyDescent="0.25">
      <c r="A225">
        <v>224</v>
      </c>
      <c r="B225">
        <v>25</v>
      </c>
      <c r="C225" t="s">
        <v>337</v>
      </c>
      <c r="D225">
        <v>1</v>
      </c>
      <c r="E225">
        <v>1</v>
      </c>
    </row>
    <row r="226" spans="1:5" x14ac:dyDescent="0.25">
      <c r="A226">
        <v>225</v>
      </c>
      <c r="B226">
        <v>26</v>
      </c>
      <c r="C226" t="s">
        <v>322</v>
      </c>
      <c r="D226">
        <v>23</v>
      </c>
      <c r="E226">
        <v>23</v>
      </c>
    </row>
    <row r="227" spans="1:5" x14ac:dyDescent="0.25">
      <c r="A227">
        <v>226</v>
      </c>
      <c r="B227">
        <v>26</v>
      </c>
      <c r="C227" t="s">
        <v>321</v>
      </c>
      <c r="D227">
        <v>23</v>
      </c>
      <c r="E227">
        <v>23</v>
      </c>
    </row>
    <row r="228" spans="1:5" x14ac:dyDescent="0.25">
      <c r="A228">
        <v>227</v>
      </c>
      <c r="B228">
        <v>26</v>
      </c>
      <c r="C228" t="s">
        <v>334</v>
      </c>
      <c r="D228">
        <v>23</v>
      </c>
      <c r="E228">
        <v>23</v>
      </c>
    </row>
    <row r="229" spans="1:5" x14ac:dyDescent="0.25">
      <c r="A229">
        <v>228</v>
      </c>
      <c r="B229">
        <v>26</v>
      </c>
      <c r="C229" t="s">
        <v>336</v>
      </c>
      <c r="D229">
        <v>23</v>
      </c>
      <c r="E229">
        <v>23</v>
      </c>
    </row>
    <row r="230" spans="1:5" x14ac:dyDescent="0.25">
      <c r="A230">
        <v>229</v>
      </c>
      <c r="B230">
        <v>26</v>
      </c>
      <c r="C230" t="s">
        <v>337</v>
      </c>
      <c r="D230">
        <v>23</v>
      </c>
      <c r="E230">
        <v>23</v>
      </c>
    </row>
    <row r="231" spans="1:5" x14ac:dyDescent="0.25">
      <c r="A231">
        <v>230</v>
      </c>
      <c r="B231">
        <v>26</v>
      </c>
      <c r="C231" t="s">
        <v>338</v>
      </c>
      <c r="D231">
        <v>23</v>
      </c>
      <c r="E231">
        <v>23</v>
      </c>
    </row>
    <row r="232" spans="1:5" x14ac:dyDescent="0.25">
      <c r="A232">
        <v>231</v>
      </c>
      <c r="B232">
        <v>27</v>
      </c>
      <c r="C232" t="s">
        <v>322</v>
      </c>
      <c r="D232">
        <v>15</v>
      </c>
      <c r="E232">
        <v>0</v>
      </c>
    </row>
    <row r="233" spans="1:5" x14ac:dyDescent="0.25">
      <c r="A233">
        <v>232</v>
      </c>
      <c r="B233">
        <v>27</v>
      </c>
      <c r="C233" t="s">
        <v>321</v>
      </c>
      <c r="D233">
        <v>15</v>
      </c>
      <c r="E233">
        <v>0</v>
      </c>
    </row>
    <row r="234" spans="1:5" x14ac:dyDescent="0.25">
      <c r="A234">
        <v>233</v>
      </c>
      <c r="B234">
        <v>27</v>
      </c>
      <c r="C234" t="s">
        <v>334</v>
      </c>
      <c r="D234">
        <v>15</v>
      </c>
      <c r="E234">
        <v>15</v>
      </c>
    </row>
    <row r="235" spans="1:5" x14ac:dyDescent="0.25">
      <c r="A235">
        <v>234</v>
      </c>
      <c r="B235">
        <v>27</v>
      </c>
      <c r="C235" t="s">
        <v>336</v>
      </c>
      <c r="D235">
        <v>15</v>
      </c>
      <c r="E235">
        <v>15</v>
      </c>
    </row>
    <row r="236" spans="1:5" x14ac:dyDescent="0.25">
      <c r="A236">
        <v>235</v>
      </c>
      <c r="B236">
        <v>27</v>
      </c>
      <c r="C236" t="s">
        <v>337</v>
      </c>
      <c r="D236">
        <v>15</v>
      </c>
      <c r="E236">
        <v>15</v>
      </c>
    </row>
    <row r="237" spans="1:5" x14ac:dyDescent="0.25">
      <c r="A237">
        <v>236</v>
      </c>
      <c r="B237">
        <v>28</v>
      </c>
      <c r="C237" t="s">
        <v>321</v>
      </c>
      <c r="D237">
        <v>2</v>
      </c>
      <c r="E237">
        <v>0</v>
      </c>
    </row>
    <row r="238" spans="1:5" x14ac:dyDescent="0.25">
      <c r="A238">
        <v>237</v>
      </c>
      <c r="B238">
        <v>28</v>
      </c>
      <c r="C238" t="s">
        <v>334</v>
      </c>
      <c r="D238">
        <v>2</v>
      </c>
      <c r="E238">
        <v>0</v>
      </c>
    </row>
    <row r="239" spans="1:5" x14ac:dyDescent="0.25">
      <c r="A239">
        <v>238</v>
      </c>
      <c r="B239">
        <v>28</v>
      </c>
      <c r="C239" t="s">
        <v>336</v>
      </c>
      <c r="D239">
        <v>2</v>
      </c>
      <c r="E239">
        <v>0</v>
      </c>
    </row>
    <row r="240" spans="1:5" x14ac:dyDescent="0.25">
      <c r="A240">
        <v>239</v>
      </c>
      <c r="B240">
        <v>28</v>
      </c>
      <c r="C240" t="s">
        <v>337</v>
      </c>
      <c r="D240">
        <v>2</v>
      </c>
      <c r="E240">
        <v>2</v>
      </c>
    </row>
    <row r="241" spans="1:5" x14ac:dyDescent="0.25">
      <c r="A241">
        <v>240</v>
      </c>
      <c r="B241">
        <v>29</v>
      </c>
      <c r="C241" t="s">
        <v>320</v>
      </c>
      <c r="D241">
        <v>3</v>
      </c>
      <c r="E241">
        <v>0</v>
      </c>
    </row>
    <row r="242" spans="1:5" x14ac:dyDescent="0.25">
      <c r="A242">
        <v>241</v>
      </c>
      <c r="B242">
        <v>29</v>
      </c>
      <c r="C242" t="s">
        <v>322</v>
      </c>
      <c r="D242">
        <v>3</v>
      </c>
      <c r="E242">
        <v>0</v>
      </c>
    </row>
    <row r="243" spans="1:5" x14ac:dyDescent="0.25">
      <c r="A243">
        <v>242</v>
      </c>
      <c r="B243">
        <v>29</v>
      </c>
      <c r="C243" t="s">
        <v>321</v>
      </c>
      <c r="D243">
        <v>3</v>
      </c>
      <c r="E243">
        <v>3</v>
      </c>
    </row>
    <row r="244" spans="1:5" x14ac:dyDescent="0.25">
      <c r="A244">
        <v>243</v>
      </c>
      <c r="B244">
        <v>29</v>
      </c>
      <c r="C244" t="s">
        <v>334</v>
      </c>
      <c r="D244">
        <v>3</v>
      </c>
      <c r="E244">
        <v>3</v>
      </c>
    </row>
    <row r="245" spans="1:5" x14ac:dyDescent="0.25">
      <c r="A245">
        <v>244</v>
      </c>
      <c r="B245">
        <v>29</v>
      </c>
      <c r="C245" t="s">
        <v>336</v>
      </c>
      <c r="D245">
        <v>3</v>
      </c>
      <c r="E245">
        <v>0</v>
      </c>
    </row>
    <row r="246" spans="1:5" x14ac:dyDescent="0.25">
      <c r="A246">
        <v>245</v>
      </c>
      <c r="B246">
        <v>29</v>
      </c>
      <c r="C246" t="s">
        <v>337</v>
      </c>
      <c r="D246">
        <v>3</v>
      </c>
      <c r="E246">
        <v>0</v>
      </c>
    </row>
    <row r="247" spans="1:5" x14ac:dyDescent="0.25">
      <c r="A247">
        <v>246</v>
      </c>
      <c r="B247">
        <v>29</v>
      </c>
      <c r="C247" t="s">
        <v>338</v>
      </c>
      <c r="D247">
        <v>3</v>
      </c>
      <c r="E247">
        <v>0</v>
      </c>
    </row>
    <row r="248" spans="1:5" x14ac:dyDescent="0.25">
      <c r="A248">
        <v>247</v>
      </c>
      <c r="B248">
        <v>30</v>
      </c>
      <c r="C248" t="s">
        <v>320</v>
      </c>
      <c r="D248">
        <v>20</v>
      </c>
      <c r="E248">
        <v>0</v>
      </c>
    </row>
    <row r="249" spans="1:5" x14ac:dyDescent="0.25">
      <c r="A249">
        <v>248</v>
      </c>
      <c r="B249">
        <v>30</v>
      </c>
      <c r="C249" t="s">
        <v>322</v>
      </c>
      <c r="D249">
        <v>20</v>
      </c>
      <c r="E249">
        <v>20</v>
      </c>
    </row>
    <row r="250" spans="1:5" x14ac:dyDescent="0.25">
      <c r="A250">
        <v>249</v>
      </c>
      <c r="B250">
        <v>30</v>
      </c>
      <c r="C250" t="s">
        <v>321</v>
      </c>
      <c r="D250">
        <v>20</v>
      </c>
      <c r="E250">
        <v>0</v>
      </c>
    </row>
    <row r="251" spans="1:5" x14ac:dyDescent="0.25">
      <c r="A251">
        <v>250</v>
      </c>
      <c r="B251">
        <v>30</v>
      </c>
      <c r="C251" t="s">
        <v>334</v>
      </c>
      <c r="D251">
        <v>20</v>
      </c>
      <c r="E251">
        <v>20</v>
      </c>
    </row>
    <row r="252" spans="1:5" x14ac:dyDescent="0.25">
      <c r="A252">
        <v>251</v>
      </c>
      <c r="B252">
        <v>30</v>
      </c>
      <c r="C252" t="s">
        <v>336</v>
      </c>
      <c r="D252">
        <v>20</v>
      </c>
      <c r="E252">
        <v>0</v>
      </c>
    </row>
    <row r="253" spans="1:5" x14ac:dyDescent="0.25">
      <c r="A253">
        <v>252</v>
      </c>
      <c r="B253">
        <v>30</v>
      </c>
      <c r="C253" t="s">
        <v>337</v>
      </c>
      <c r="D253">
        <v>20</v>
      </c>
      <c r="E253">
        <v>20</v>
      </c>
    </row>
    <row r="254" spans="1:5" x14ac:dyDescent="0.25">
      <c r="A254">
        <v>253</v>
      </c>
      <c r="B254">
        <v>30</v>
      </c>
      <c r="C254" t="s">
        <v>338</v>
      </c>
      <c r="D254">
        <v>20</v>
      </c>
      <c r="E254">
        <v>0</v>
      </c>
    </row>
    <row r="255" spans="1:5" x14ac:dyDescent="0.25">
      <c r="A255">
        <v>254</v>
      </c>
      <c r="B255">
        <v>31</v>
      </c>
      <c r="C255" t="s">
        <v>320</v>
      </c>
      <c r="D255">
        <v>30</v>
      </c>
      <c r="E255">
        <v>0</v>
      </c>
    </row>
    <row r="256" spans="1:5" x14ac:dyDescent="0.25">
      <c r="A256">
        <v>255</v>
      </c>
      <c r="B256">
        <v>31</v>
      </c>
      <c r="C256" t="s">
        <v>322</v>
      </c>
      <c r="D256">
        <v>30</v>
      </c>
      <c r="E256">
        <v>0</v>
      </c>
    </row>
    <row r="257" spans="1:5" x14ac:dyDescent="0.25">
      <c r="A257">
        <v>256</v>
      </c>
      <c r="B257">
        <v>31</v>
      </c>
      <c r="C257" t="s">
        <v>321</v>
      </c>
      <c r="D257">
        <v>30</v>
      </c>
      <c r="E257">
        <v>0</v>
      </c>
    </row>
    <row r="258" spans="1:5" x14ac:dyDescent="0.25">
      <c r="A258">
        <v>257</v>
      </c>
      <c r="B258">
        <v>31</v>
      </c>
      <c r="C258" t="s">
        <v>334</v>
      </c>
      <c r="D258">
        <v>30</v>
      </c>
      <c r="E258">
        <v>30</v>
      </c>
    </row>
    <row r="259" spans="1:5" x14ac:dyDescent="0.25">
      <c r="A259">
        <v>258</v>
      </c>
      <c r="B259">
        <v>31</v>
      </c>
      <c r="C259" t="s">
        <v>336</v>
      </c>
      <c r="D259">
        <v>30</v>
      </c>
      <c r="E259">
        <v>0</v>
      </c>
    </row>
    <row r="260" spans="1:5" x14ac:dyDescent="0.25">
      <c r="A260">
        <v>259</v>
      </c>
      <c r="B260">
        <v>31</v>
      </c>
      <c r="C260" t="s">
        <v>337</v>
      </c>
      <c r="D260">
        <v>30</v>
      </c>
      <c r="E260">
        <v>30</v>
      </c>
    </row>
    <row r="261" spans="1:5" x14ac:dyDescent="0.25">
      <c r="A261">
        <v>260</v>
      </c>
      <c r="B261">
        <v>31</v>
      </c>
      <c r="C261" t="s">
        <v>338</v>
      </c>
      <c r="D261">
        <v>30</v>
      </c>
      <c r="E26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opLeftCell="A19" workbookViewId="0">
      <selection activeCell="D10" sqref="D10"/>
    </sheetView>
  </sheetViews>
  <sheetFormatPr defaultRowHeight="15" x14ac:dyDescent="0.25"/>
  <cols>
    <col min="1" max="1" width="14.7109375" customWidth="1"/>
  </cols>
  <sheetData>
    <row r="1" spans="1:2" x14ac:dyDescent="0.25">
      <c r="A1" t="s">
        <v>359</v>
      </c>
      <c r="B1" t="s">
        <v>360</v>
      </c>
    </row>
    <row r="2" spans="1:2" ht="15.75" x14ac:dyDescent="0.25">
      <c r="A2">
        <v>1</v>
      </c>
      <c r="B2" s="1" t="s">
        <v>11</v>
      </c>
    </row>
    <row r="3" spans="1:2" ht="15.75" x14ac:dyDescent="0.25">
      <c r="A3">
        <v>2</v>
      </c>
      <c r="B3" s="1" t="s">
        <v>31</v>
      </c>
    </row>
    <row r="4" spans="1:2" ht="15.75" x14ac:dyDescent="0.25">
      <c r="A4">
        <v>3</v>
      </c>
      <c r="B4" s="1" t="s">
        <v>53</v>
      </c>
    </row>
    <row r="5" spans="1:2" ht="15.75" x14ac:dyDescent="0.25">
      <c r="A5">
        <v>4</v>
      </c>
      <c r="B5" s="1" t="s">
        <v>67</v>
      </c>
    </row>
    <row r="6" spans="1:2" ht="15.75" x14ac:dyDescent="0.25">
      <c r="A6">
        <v>5</v>
      </c>
      <c r="B6" s="1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="70" zoomScaleNormal="70" workbookViewId="0">
      <selection activeCell="I34" sqref="I34"/>
    </sheetView>
  </sheetViews>
  <sheetFormatPr defaultRowHeight="15" x14ac:dyDescent="0.25"/>
  <cols>
    <col min="4" max="4" width="27.28515625" customWidth="1"/>
    <col min="5" max="5" width="62.7109375" customWidth="1"/>
    <col min="7" max="7" width="53.85546875" customWidth="1"/>
  </cols>
  <sheetData>
    <row r="1" spans="1:8" x14ac:dyDescent="0.25">
      <c r="A1" t="s">
        <v>353</v>
      </c>
      <c r="B1" t="s">
        <v>357</v>
      </c>
      <c r="C1" t="s">
        <v>362</v>
      </c>
      <c r="D1" t="s">
        <v>361</v>
      </c>
      <c r="E1" t="s">
        <v>375</v>
      </c>
      <c r="F1" t="s">
        <v>350</v>
      </c>
      <c r="G1" t="s">
        <v>363</v>
      </c>
      <c r="H1" t="s">
        <v>364</v>
      </c>
    </row>
    <row r="2" spans="1:8" ht="15.75" x14ac:dyDescent="0.25">
      <c r="A2" s="1">
        <v>1</v>
      </c>
      <c r="B2" s="1">
        <v>1</v>
      </c>
      <c r="C2" s="1">
        <v>1</v>
      </c>
      <c r="D2" s="1" t="s">
        <v>12</v>
      </c>
      <c r="E2" s="1" t="s">
        <v>13</v>
      </c>
      <c r="F2" s="1">
        <v>1</v>
      </c>
      <c r="G2" s="1" t="s">
        <v>16</v>
      </c>
      <c r="H2" s="3">
        <v>2190</v>
      </c>
    </row>
    <row r="3" spans="1:8" ht="15.75" x14ac:dyDescent="0.25">
      <c r="A3" s="1">
        <v>2</v>
      </c>
      <c r="B3" s="1">
        <v>1</v>
      </c>
      <c r="C3" s="1">
        <v>1</v>
      </c>
      <c r="D3" s="1"/>
      <c r="E3" s="1" t="s">
        <v>18</v>
      </c>
      <c r="F3" s="1">
        <v>2</v>
      </c>
      <c r="G3" s="1" t="s">
        <v>21</v>
      </c>
      <c r="H3" s="3">
        <v>2490</v>
      </c>
    </row>
    <row r="4" spans="1:8" ht="15.75" x14ac:dyDescent="0.25">
      <c r="A4" s="1">
        <v>3</v>
      </c>
      <c r="B4" s="1">
        <v>1</v>
      </c>
      <c r="C4" s="1">
        <v>1</v>
      </c>
      <c r="D4" s="1" t="s">
        <v>24</v>
      </c>
      <c r="E4" s="1" t="s">
        <v>25</v>
      </c>
      <c r="F4" s="1">
        <v>3</v>
      </c>
      <c r="G4" s="1" t="s">
        <v>28</v>
      </c>
      <c r="H4" s="3">
        <v>1990</v>
      </c>
    </row>
    <row r="5" spans="1:8" ht="15.75" x14ac:dyDescent="0.25">
      <c r="A5" s="1">
        <v>4</v>
      </c>
      <c r="B5" s="1">
        <v>1</v>
      </c>
      <c r="C5" s="1">
        <v>2</v>
      </c>
      <c r="D5" s="1" t="s">
        <v>32</v>
      </c>
      <c r="E5" s="1" t="s">
        <v>33</v>
      </c>
      <c r="F5" s="1">
        <v>4</v>
      </c>
      <c r="G5" s="1" t="s">
        <v>36</v>
      </c>
      <c r="H5" s="3">
        <v>3490</v>
      </c>
    </row>
    <row r="6" spans="1:8" ht="15.75" x14ac:dyDescent="0.25">
      <c r="A6" s="1">
        <v>5</v>
      </c>
      <c r="B6" s="1">
        <v>1</v>
      </c>
      <c r="C6" s="1">
        <v>2</v>
      </c>
      <c r="D6" s="1" t="s">
        <v>39</v>
      </c>
      <c r="E6" s="1" t="s">
        <v>40</v>
      </c>
      <c r="F6" s="1">
        <v>5</v>
      </c>
      <c r="G6" s="1" t="s">
        <v>43</v>
      </c>
      <c r="H6" s="3">
        <v>3190</v>
      </c>
    </row>
    <row r="7" spans="1:8" ht="15.75" x14ac:dyDescent="0.25">
      <c r="A7" s="1">
        <v>6</v>
      </c>
      <c r="B7" s="1">
        <v>1</v>
      </c>
      <c r="C7" s="1">
        <v>2</v>
      </c>
      <c r="D7" s="1" t="s">
        <v>46</v>
      </c>
      <c r="E7" s="1" t="s">
        <v>47</v>
      </c>
      <c r="F7" s="1">
        <v>6</v>
      </c>
      <c r="G7" s="1" t="s">
        <v>50</v>
      </c>
      <c r="H7" s="3">
        <v>4290</v>
      </c>
    </row>
    <row r="8" spans="1:8" ht="15.75" x14ac:dyDescent="0.25">
      <c r="A8" s="1">
        <v>7</v>
      </c>
      <c r="B8" s="1">
        <v>1</v>
      </c>
      <c r="C8" s="1">
        <v>3</v>
      </c>
      <c r="D8" s="1" t="s">
        <v>54</v>
      </c>
      <c r="E8" s="1" t="s">
        <v>55</v>
      </c>
      <c r="F8" s="1">
        <v>7</v>
      </c>
      <c r="G8" s="1" t="s">
        <v>58</v>
      </c>
      <c r="H8" s="3">
        <v>2790</v>
      </c>
    </row>
    <row r="9" spans="1:8" ht="15.75" x14ac:dyDescent="0.25">
      <c r="A9" s="1">
        <v>8</v>
      </c>
      <c r="B9" s="1">
        <v>1</v>
      </c>
      <c r="C9" s="1">
        <v>3</v>
      </c>
      <c r="D9" s="1" t="s">
        <v>61</v>
      </c>
      <c r="E9" s="1" t="s">
        <v>62</v>
      </c>
      <c r="F9" s="1">
        <v>8</v>
      </c>
      <c r="G9" s="1" t="s">
        <v>65</v>
      </c>
      <c r="H9" s="3">
        <v>1690</v>
      </c>
    </row>
    <row r="10" spans="1:8" ht="15.75" x14ac:dyDescent="0.25">
      <c r="A10" s="1">
        <v>9</v>
      </c>
      <c r="B10" s="1">
        <v>1</v>
      </c>
      <c r="C10" s="1">
        <v>4</v>
      </c>
      <c r="D10" s="1" t="s">
        <v>68</v>
      </c>
      <c r="E10" s="1" t="s">
        <v>69</v>
      </c>
      <c r="F10" s="1">
        <v>9</v>
      </c>
      <c r="G10" s="1" t="s">
        <v>72</v>
      </c>
      <c r="H10" s="3">
        <v>2390</v>
      </c>
    </row>
    <row r="11" spans="1:8" ht="15.75" x14ac:dyDescent="0.25">
      <c r="A11" s="1">
        <v>10</v>
      </c>
      <c r="B11" s="1">
        <v>2</v>
      </c>
      <c r="C11" s="1">
        <v>2</v>
      </c>
      <c r="D11" s="1" t="s">
        <v>75</v>
      </c>
      <c r="E11" s="1" t="s">
        <v>76</v>
      </c>
      <c r="F11" s="1">
        <v>10</v>
      </c>
      <c r="G11" s="1" t="s">
        <v>79</v>
      </c>
      <c r="H11" s="3">
        <v>25000</v>
      </c>
    </row>
    <row r="12" spans="1:8" ht="15.75" x14ac:dyDescent="0.25">
      <c r="A12" s="1">
        <v>11</v>
      </c>
      <c r="B12" s="1">
        <v>2</v>
      </c>
      <c r="C12" s="1">
        <v>2</v>
      </c>
      <c r="D12" s="1" t="s">
        <v>82</v>
      </c>
      <c r="E12" s="1" t="s">
        <v>83</v>
      </c>
      <c r="F12" s="1">
        <v>10</v>
      </c>
      <c r="G12" s="1" t="s">
        <v>85</v>
      </c>
      <c r="H12" s="3">
        <v>15000</v>
      </c>
    </row>
    <row r="13" spans="1:8" ht="15.75" x14ac:dyDescent="0.25">
      <c r="A13" s="1">
        <v>12</v>
      </c>
      <c r="B13" s="1">
        <v>2</v>
      </c>
      <c r="C13" s="1">
        <v>2</v>
      </c>
      <c r="D13" s="1" t="s">
        <v>87</v>
      </c>
      <c r="E13" s="1" t="s">
        <v>88</v>
      </c>
      <c r="F13" s="1">
        <v>11</v>
      </c>
      <c r="G13" s="1" t="s">
        <v>91</v>
      </c>
      <c r="H13" s="3">
        <v>17000</v>
      </c>
    </row>
    <row r="14" spans="1:8" ht="15.75" x14ac:dyDescent="0.25">
      <c r="A14" s="1">
        <v>13</v>
      </c>
      <c r="B14" s="1">
        <v>2</v>
      </c>
      <c r="C14" s="1">
        <v>3</v>
      </c>
      <c r="D14" s="1" t="s">
        <v>93</v>
      </c>
      <c r="E14" s="1" t="s">
        <v>94</v>
      </c>
      <c r="F14" s="1">
        <v>12</v>
      </c>
      <c r="G14" s="1" t="s">
        <v>97</v>
      </c>
      <c r="H14" s="3">
        <v>7500</v>
      </c>
    </row>
    <row r="15" spans="1:8" ht="15.75" x14ac:dyDescent="0.25">
      <c r="A15" s="1">
        <v>14</v>
      </c>
      <c r="B15" s="1">
        <v>2</v>
      </c>
      <c r="C15" s="1">
        <v>3</v>
      </c>
      <c r="D15" s="1" t="s">
        <v>99</v>
      </c>
      <c r="E15" s="1" t="s">
        <v>100</v>
      </c>
      <c r="F15" s="1">
        <v>13</v>
      </c>
      <c r="G15" s="1" t="s">
        <v>103</v>
      </c>
      <c r="H15" s="3">
        <v>5600</v>
      </c>
    </row>
    <row r="16" spans="1:8" ht="15.75" x14ac:dyDescent="0.25">
      <c r="A16" s="1">
        <v>15</v>
      </c>
      <c r="B16" s="1">
        <v>2</v>
      </c>
      <c r="C16" s="1">
        <v>3</v>
      </c>
      <c r="D16" s="1" t="s">
        <v>105</v>
      </c>
      <c r="E16" s="1" t="s">
        <v>106</v>
      </c>
      <c r="F16" s="1">
        <v>14</v>
      </c>
      <c r="G16" s="1" t="s">
        <v>109</v>
      </c>
      <c r="H16" s="3">
        <v>7130</v>
      </c>
    </row>
    <row r="17" spans="1:8" ht="15.75" x14ac:dyDescent="0.25">
      <c r="A17" s="1">
        <v>16</v>
      </c>
      <c r="B17" s="1">
        <v>2</v>
      </c>
      <c r="C17" s="1">
        <v>4</v>
      </c>
      <c r="D17" s="1" t="s">
        <v>111</v>
      </c>
      <c r="E17" s="1" t="s">
        <v>112</v>
      </c>
      <c r="F17" s="1">
        <v>14</v>
      </c>
      <c r="G17" s="1" t="s">
        <v>114</v>
      </c>
      <c r="H17" s="3">
        <v>12340</v>
      </c>
    </row>
    <row r="18" spans="1:8" ht="15.75" x14ac:dyDescent="0.25">
      <c r="A18" s="1">
        <v>17</v>
      </c>
      <c r="B18" s="1">
        <v>2</v>
      </c>
      <c r="C18" s="1">
        <v>4</v>
      </c>
      <c r="D18" s="1" t="s">
        <v>115</v>
      </c>
      <c r="E18" s="1" t="s">
        <v>116</v>
      </c>
      <c r="F18" s="1">
        <v>13</v>
      </c>
      <c r="G18" s="1" t="s">
        <v>118</v>
      </c>
      <c r="H18" s="3">
        <v>7757</v>
      </c>
    </row>
    <row r="19" spans="1:8" ht="15.75" x14ac:dyDescent="0.25">
      <c r="A19" s="1">
        <v>18</v>
      </c>
      <c r="B19" s="1">
        <v>2</v>
      </c>
      <c r="C19" s="1">
        <v>4</v>
      </c>
      <c r="D19" s="1" t="s">
        <v>120</v>
      </c>
      <c r="E19" s="1" t="s">
        <v>121</v>
      </c>
      <c r="F19" s="1">
        <v>12</v>
      </c>
      <c r="G19" s="1" t="s">
        <v>123</v>
      </c>
      <c r="H19" s="3">
        <v>7550</v>
      </c>
    </row>
    <row r="20" spans="1:8" ht="15.75" x14ac:dyDescent="0.25">
      <c r="A20" s="1">
        <v>19</v>
      </c>
      <c r="B20" s="1">
        <v>2</v>
      </c>
      <c r="C20" s="1">
        <v>1</v>
      </c>
      <c r="D20" s="1" t="s">
        <v>125</v>
      </c>
      <c r="E20" s="1" t="s">
        <v>126</v>
      </c>
      <c r="F20" s="1">
        <v>2</v>
      </c>
      <c r="G20" s="1" t="s">
        <v>128</v>
      </c>
      <c r="H20" s="3">
        <v>9450</v>
      </c>
    </row>
    <row r="21" spans="1:8" ht="15.75" x14ac:dyDescent="0.25">
      <c r="A21" s="1">
        <v>20</v>
      </c>
      <c r="B21" s="1">
        <v>2</v>
      </c>
      <c r="C21" s="1">
        <v>1</v>
      </c>
      <c r="D21" s="1" t="s">
        <v>130</v>
      </c>
      <c r="E21" s="1" t="s">
        <v>131</v>
      </c>
      <c r="F21" s="1">
        <v>2</v>
      </c>
      <c r="G21" s="1" t="s">
        <v>133</v>
      </c>
      <c r="H21" s="3">
        <v>8565</v>
      </c>
    </row>
    <row r="22" spans="1:8" ht="15.75" x14ac:dyDescent="0.25">
      <c r="A22" s="1">
        <v>21</v>
      </c>
      <c r="B22" s="1">
        <v>2</v>
      </c>
      <c r="C22" s="1">
        <v>1</v>
      </c>
      <c r="D22" s="1" t="s">
        <v>134</v>
      </c>
      <c r="E22" s="1" t="s">
        <v>135</v>
      </c>
      <c r="F22" s="1">
        <v>12</v>
      </c>
      <c r="G22" s="1" t="s">
        <v>137</v>
      </c>
      <c r="H22" s="3">
        <v>8765</v>
      </c>
    </row>
    <row r="23" spans="1:8" ht="15.75" x14ac:dyDescent="0.25">
      <c r="A23" s="1">
        <v>22</v>
      </c>
      <c r="B23" s="1">
        <v>2</v>
      </c>
      <c r="C23" s="1">
        <v>1</v>
      </c>
      <c r="D23" s="1" t="s">
        <v>138</v>
      </c>
      <c r="E23" s="1" t="s">
        <v>139</v>
      </c>
      <c r="F23" s="1">
        <v>12</v>
      </c>
      <c r="G23" s="1" t="s">
        <v>141</v>
      </c>
      <c r="H23" s="3">
        <v>7795</v>
      </c>
    </row>
    <row r="24" spans="1:8" ht="15.75" x14ac:dyDescent="0.25">
      <c r="A24" s="1">
        <v>23</v>
      </c>
      <c r="B24" s="1">
        <v>3</v>
      </c>
      <c r="C24" s="1">
        <v>1</v>
      </c>
      <c r="D24" s="1" t="s">
        <v>144</v>
      </c>
      <c r="E24" s="1" t="s">
        <v>145</v>
      </c>
      <c r="F24" s="1">
        <v>15</v>
      </c>
      <c r="G24" s="1" t="s">
        <v>148</v>
      </c>
      <c r="H24" s="3">
        <v>6550</v>
      </c>
    </row>
    <row r="25" spans="1:8" ht="15.75" x14ac:dyDescent="0.25">
      <c r="A25" s="1">
        <v>24</v>
      </c>
      <c r="B25" s="1">
        <v>3</v>
      </c>
      <c r="C25" s="1">
        <v>1</v>
      </c>
      <c r="D25" s="1" t="s">
        <v>149</v>
      </c>
      <c r="E25" s="1" t="s">
        <v>150</v>
      </c>
      <c r="F25" s="1">
        <v>15</v>
      </c>
      <c r="G25" s="1" t="s">
        <v>152</v>
      </c>
      <c r="H25" s="3">
        <v>7890</v>
      </c>
    </row>
    <row r="26" spans="1:8" ht="15.75" x14ac:dyDescent="0.25">
      <c r="A26" s="1">
        <v>25</v>
      </c>
      <c r="B26" s="1">
        <v>3</v>
      </c>
      <c r="C26" s="1">
        <v>1</v>
      </c>
      <c r="D26" s="1" t="s">
        <v>153</v>
      </c>
      <c r="E26" s="1" t="s">
        <v>11</v>
      </c>
      <c r="F26" s="1">
        <v>2</v>
      </c>
      <c r="G26" s="1" t="s">
        <v>155</v>
      </c>
      <c r="H26" s="3">
        <v>9567</v>
      </c>
    </row>
    <row r="27" spans="1:8" ht="15.75" x14ac:dyDescent="0.25">
      <c r="A27" s="1">
        <v>26</v>
      </c>
      <c r="B27" s="1">
        <v>3</v>
      </c>
      <c r="C27" s="1">
        <v>4</v>
      </c>
      <c r="D27" s="1" t="s">
        <v>158</v>
      </c>
      <c r="E27" s="1" t="s">
        <v>159</v>
      </c>
      <c r="F27" s="1">
        <v>10</v>
      </c>
      <c r="G27" s="1" t="s">
        <v>161</v>
      </c>
      <c r="H27" s="3">
        <v>24569</v>
      </c>
    </row>
    <row r="28" spans="1:8" ht="15.75" x14ac:dyDescent="0.25">
      <c r="A28" s="1">
        <v>27</v>
      </c>
      <c r="B28" s="1">
        <v>3</v>
      </c>
      <c r="C28" s="1">
        <v>4</v>
      </c>
      <c r="D28" s="1" t="s">
        <v>163</v>
      </c>
      <c r="E28" s="1" t="s">
        <v>164</v>
      </c>
      <c r="F28" s="1">
        <v>16</v>
      </c>
      <c r="G28" s="1" t="s">
        <v>167</v>
      </c>
      <c r="H28" s="3">
        <v>10155</v>
      </c>
    </row>
    <row r="29" spans="1:8" ht="15.75" x14ac:dyDescent="0.25">
      <c r="A29" s="1">
        <v>28</v>
      </c>
      <c r="B29" s="1">
        <v>3</v>
      </c>
      <c r="C29" s="1">
        <v>4</v>
      </c>
      <c r="D29" s="1" t="s">
        <v>170</v>
      </c>
      <c r="E29" s="1" t="s">
        <v>171</v>
      </c>
      <c r="F29" s="1">
        <v>16</v>
      </c>
      <c r="G29" s="1" t="s">
        <v>173</v>
      </c>
      <c r="H29" s="3">
        <v>25625</v>
      </c>
    </row>
    <row r="30" spans="1:8" ht="15.75" x14ac:dyDescent="0.25">
      <c r="A30" s="1">
        <v>29</v>
      </c>
      <c r="B30" s="1">
        <v>3</v>
      </c>
      <c r="C30" s="1">
        <v>5</v>
      </c>
      <c r="D30" s="1" t="s">
        <v>175</v>
      </c>
      <c r="E30" s="1" t="s">
        <v>176</v>
      </c>
      <c r="F30" s="1">
        <v>10</v>
      </c>
      <c r="G30" s="1" t="s">
        <v>178</v>
      </c>
      <c r="H30" s="3">
        <v>21500</v>
      </c>
    </row>
    <row r="31" spans="1:8" ht="15.75" x14ac:dyDescent="0.25">
      <c r="A31" s="1">
        <v>30</v>
      </c>
      <c r="B31" s="1">
        <v>3</v>
      </c>
      <c r="C31" s="1">
        <v>5</v>
      </c>
      <c r="D31" s="1" t="s">
        <v>181</v>
      </c>
      <c r="E31" s="1" t="s">
        <v>182</v>
      </c>
      <c r="F31" s="1">
        <v>13</v>
      </c>
      <c r="G31" s="1" t="s">
        <v>184</v>
      </c>
      <c r="H31" s="3">
        <v>14567</v>
      </c>
    </row>
    <row r="32" spans="1:8" ht="15.75" x14ac:dyDescent="0.25">
      <c r="A32" s="1">
        <v>31</v>
      </c>
      <c r="B32" s="1">
        <v>3</v>
      </c>
      <c r="C32" s="1">
        <v>5</v>
      </c>
      <c r="D32" s="1" t="s">
        <v>186</v>
      </c>
      <c r="E32" s="1" t="s">
        <v>187</v>
      </c>
      <c r="F32" s="1">
        <v>10</v>
      </c>
      <c r="G32" s="1" t="s">
        <v>189</v>
      </c>
      <c r="H32" s="3">
        <v>15670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1" sqref="D1"/>
    </sheetView>
  </sheetViews>
  <sheetFormatPr defaultRowHeight="15" x14ac:dyDescent="0.25"/>
  <cols>
    <col min="1" max="1" width="6.42578125" customWidth="1"/>
    <col min="2" max="2" width="32.140625" customWidth="1"/>
    <col min="3" max="4" width="14.7109375" customWidth="1"/>
  </cols>
  <sheetData>
    <row r="1" spans="1:4" x14ac:dyDescent="0.25">
      <c r="A1" t="s">
        <v>365</v>
      </c>
      <c r="B1" t="s">
        <v>366</v>
      </c>
      <c r="C1" t="s">
        <v>367</v>
      </c>
      <c r="D1" t="s">
        <v>368</v>
      </c>
    </row>
    <row r="2" spans="1:4" x14ac:dyDescent="0.25">
      <c r="A2">
        <v>1</v>
      </c>
      <c r="B2" t="s">
        <v>339</v>
      </c>
      <c r="C2" t="s">
        <v>206</v>
      </c>
      <c r="D2">
        <v>1</v>
      </c>
    </row>
    <row r="3" spans="1:4" x14ac:dyDescent="0.25">
      <c r="A3">
        <v>2</v>
      </c>
      <c r="B3" t="s">
        <v>340</v>
      </c>
      <c r="C3" t="s">
        <v>211</v>
      </c>
      <c r="D3">
        <v>2</v>
      </c>
    </row>
    <row r="4" spans="1:4" x14ac:dyDescent="0.25">
      <c r="A4">
        <v>3</v>
      </c>
      <c r="B4" t="s">
        <v>292</v>
      </c>
      <c r="C4" t="s">
        <v>216</v>
      </c>
      <c r="D4">
        <v>3</v>
      </c>
    </row>
    <row r="5" spans="1:4" x14ac:dyDescent="0.25">
      <c r="A5">
        <v>4</v>
      </c>
      <c r="B5" t="s">
        <v>341</v>
      </c>
      <c r="C5" t="s">
        <v>221</v>
      </c>
      <c r="D5">
        <v>2</v>
      </c>
    </row>
    <row r="6" spans="1:4" x14ac:dyDescent="0.25">
      <c r="A6">
        <v>5</v>
      </c>
      <c r="B6" t="s">
        <v>293</v>
      </c>
      <c r="C6" t="s">
        <v>225</v>
      </c>
      <c r="D6">
        <v>3</v>
      </c>
    </row>
    <row r="7" spans="1:4" x14ac:dyDescent="0.25">
      <c r="A7">
        <v>6</v>
      </c>
      <c r="B7" t="s">
        <v>342</v>
      </c>
      <c r="C7" t="s">
        <v>229</v>
      </c>
      <c r="D7">
        <v>1</v>
      </c>
    </row>
    <row r="8" spans="1:4" x14ac:dyDescent="0.25">
      <c r="A8">
        <v>7</v>
      </c>
      <c r="B8" t="s">
        <v>294</v>
      </c>
      <c r="C8" t="s">
        <v>233</v>
      </c>
      <c r="D8">
        <v>3</v>
      </c>
    </row>
    <row r="9" spans="1:4" x14ac:dyDescent="0.25">
      <c r="A9">
        <v>8</v>
      </c>
      <c r="B9" t="s">
        <v>343</v>
      </c>
      <c r="C9" t="s">
        <v>237</v>
      </c>
      <c r="D9">
        <v>2</v>
      </c>
    </row>
    <row r="10" spans="1:4" x14ac:dyDescent="0.25">
      <c r="A10">
        <v>9</v>
      </c>
      <c r="B10" t="s">
        <v>295</v>
      </c>
      <c r="C10" t="s">
        <v>241</v>
      </c>
      <c r="D10">
        <v>3</v>
      </c>
    </row>
    <row r="11" spans="1:4" x14ac:dyDescent="0.25">
      <c r="A11">
        <v>10</v>
      </c>
      <c r="B11" t="s">
        <v>344</v>
      </c>
      <c r="C11" t="s">
        <v>245</v>
      </c>
      <c r="D11">
        <v>2</v>
      </c>
    </row>
    <row r="12" spans="1:4" x14ac:dyDescent="0.25">
      <c r="A12">
        <v>11</v>
      </c>
      <c r="B12" t="s">
        <v>345</v>
      </c>
      <c r="C12" t="s">
        <v>249</v>
      </c>
      <c r="D12">
        <v>1</v>
      </c>
    </row>
    <row r="13" spans="1:4" x14ac:dyDescent="0.25">
      <c r="A13">
        <v>12</v>
      </c>
      <c r="B13" t="s">
        <v>296</v>
      </c>
      <c r="C13" t="s">
        <v>253</v>
      </c>
      <c r="D13">
        <v>3</v>
      </c>
    </row>
    <row r="14" spans="1:4" x14ac:dyDescent="0.25">
      <c r="A14">
        <v>13</v>
      </c>
      <c r="B14" t="s">
        <v>346</v>
      </c>
      <c r="C14" t="s">
        <v>257</v>
      </c>
      <c r="D14">
        <v>2</v>
      </c>
    </row>
    <row r="15" spans="1:4" x14ac:dyDescent="0.25">
      <c r="A15">
        <v>14</v>
      </c>
      <c r="B15" t="s">
        <v>297</v>
      </c>
      <c r="C15" t="s">
        <v>261</v>
      </c>
      <c r="D15">
        <v>3</v>
      </c>
    </row>
    <row r="16" spans="1:4" x14ac:dyDescent="0.25">
      <c r="A16">
        <v>15</v>
      </c>
      <c r="B16" t="s">
        <v>299</v>
      </c>
      <c r="C16" t="s">
        <v>265</v>
      </c>
      <c r="D16">
        <v>3</v>
      </c>
    </row>
    <row r="17" spans="1:4" x14ac:dyDescent="0.25">
      <c r="A17">
        <v>16</v>
      </c>
      <c r="B17" t="s">
        <v>347</v>
      </c>
      <c r="C17" t="s">
        <v>269</v>
      </c>
      <c r="D17">
        <v>2</v>
      </c>
    </row>
    <row r="18" spans="1:4" x14ac:dyDescent="0.25">
      <c r="A18">
        <v>17</v>
      </c>
      <c r="B18" t="s">
        <v>300</v>
      </c>
      <c r="C18" t="s">
        <v>273</v>
      </c>
      <c r="D18">
        <v>3</v>
      </c>
    </row>
    <row r="19" spans="1:4" x14ac:dyDescent="0.25">
      <c r="A19">
        <v>18</v>
      </c>
      <c r="B19" t="s">
        <v>348</v>
      </c>
      <c r="C19" t="s">
        <v>277</v>
      </c>
      <c r="D19">
        <v>1</v>
      </c>
    </row>
    <row r="20" spans="1:4" x14ac:dyDescent="0.25">
      <c r="A20">
        <v>19</v>
      </c>
      <c r="B20" t="s">
        <v>349</v>
      </c>
      <c r="C20" t="s">
        <v>281</v>
      </c>
      <c r="D20">
        <v>2</v>
      </c>
    </row>
    <row r="21" spans="1:4" x14ac:dyDescent="0.25">
      <c r="A21">
        <v>20</v>
      </c>
      <c r="B21" t="s">
        <v>301</v>
      </c>
      <c r="C21" t="s">
        <v>285</v>
      </c>
      <c r="D2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7" sqref="D7"/>
    </sheetView>
  </sheetViews>
  <sheetFormatPr defaultRowHeight="15" x14ac:dyDescent="0.25"/>
  <sheetData>
    <row r="1" spans="1:2" x14ac:dyDescent="0.25">
      <c r="A1" t="s">
        <v>368</v>
      </c>
      <c r="B1" t="s">
        <v>369</v>
      </c>
    </row>
    <row r="2" spans="1:2" x14ac:dyDescent="0.25">
      <c r="A2">
        <v>1</v>
      </c>
      <c r="B2" t="s">
        <v>207</v>
      </c>
    </row>
    <row r="3" spans="1:2" x14ac:dyDescent="0.25">
      <c r="A3">
        <v>2</v>
      </c>
      <c r="B3" t="s">
        <v>212</v>
      </c>
    </row>
    <row r="4" spans="1:2" x14ac:dyDescent="0.25">
      <c r="A4">
        <v>3</v>
      </c>
      <c r="B4" t="s">
        <v>217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L13" sqref="L13"/>
    </sheetView>
  </sheetViews>
  <sheetFormatPr defaultRowHeight="15" x14ac:dyDescent="0.25"/>
  <cols>
    <col min="2" max="2" width="7.85546875" customWidth="1"/>
    <col min="3" max="3" width="12.7109375" customWidth="1"/>
    <col min="5" max="10" width="8" customWidth="1"/>
  </cols>
  <sheetData>
    <row r="1" spans="1:12" x14ac:dyDescent="0.25">
      <c r="A1" t="s">
        <v>370</v>
      </c>
      <c r="B1" t="s">
        <v>371</v>
      </c>
      <c r="C1" t="s">
        <v>372</v>
      </c>
      <c r="D1" t="s">
        <v>365</v>
      </c>
      <c r="E1" t="s">
        <v>357</v>
      </c>
      <c r="F1" t="s">
        <v>353</v>
      </c>
      <c r="G1" t="s">
        <v>350</v>
      </c>
      <c r="H1" t="s">
        <v>354</v>
      </c>
      <c r="I1" t="s">
        <v>373</v>
      </c>
      <c r="J1" t="s">
        <v>374</v>
      </c>
    </row>
    <row r="2" spans="1:12" ht="15.75" x14ac:dyDescent="0.25">
      <c r="A2">
        <v>1</v>
      </c>
      <c r="B2">
        <v>1</v>
      </c>
      <c r="C2" s="4">
        <v>46113</v>
      </c>
      <c r="D2">
        <v>3</v>
      </c>
      <c r="E2">
        <v>1</v>
      </c>
      <c r="F2">
        <v>1</v>
      </c>
      <c r="G2">
        <v>1</v>
      </c>
      <c r="H2">
        <v>25</v>
      </c>
      <c r="I2">
        <v>1</v>
      </c>
      <c r="J2">
        <v>2190</v>
      </c>
      <c r="L2" s="1"/>
    </row>
    <row r="3" spans="1:12" ht="15.75" x14ac:dyDescent="0.25">
      <c r="A3">
        <v>2</v>
      </c>
      <c r="B3">
        <v>1</v>
      </c>
      <c r="C3" s="4">
        <v>46113</v>
      </c>
      <c r="D3">
        <v>3</v>
      </c>
      <c r="E3">
        <v>1</v>
      </c>
      <c r="F3">
        <v>7</v>
      </c>
      <c r="G3">
        <v>7</v>
      </c>
      <c r="H3">
        <v>23</v>
      </c>
      <c r="I3">
        <v>2</v>
      </c>
      <c r="J3">
        <v>2790</v>
      </c>
      <c r="L3" s="1"/>
    </row>
    <row r="4" spans="1:12" ht="15.75" x14ac:dyDescent="0.25">
      <c r="A4">
        <v>3</v>
      </c>
      <c r="B4">
        <v>2</v>
      </c>
      <c r="C4" s="4">
        <v>46114</v>
      </c>
      <c r="D4">
        <v>5</v>
      </c>
      <c r="E4">
        <v>1</v>
      </c>
      <c r="F4">
        <v>2</v>
      </c>
      <c r="G4">
        <v>2</v>
      </c>
      <c r="H4">
        <v>34</v>
      </c>
      <c r="I4">
        <v>1</v>
      </c>
      <c r="J4">
        <v>2490</v>
      </c>
      <c r="L4" s="1"/>
    </row>
    <row r="5" spans="1:12" ht="15.75" x14ac:dyDescent="0.25">
      <c r="A5">
        <v>4</v>
      </c>
      <c r="B5">
        <v>2</v>
      </c>
      <c r="C5" s="4">
        <v>46114</v>
      </c>
      <c r="D5">
        <v>5</v>
      </c>
      <c r="E5">
        <v>1</v>
      </c>
      <c r="F5">
        <v>4</v>
      </c>
      <c r="G5">
        <v>4</v>
      </c>
      <c r="H5">
        <v>26</v>
      </c>
      <c r="I5">
        <v>1</v>
      </c>
      <c r="J5">
        <v>3490</v>
      </c>
      <c r="L5" s="1"/>
    </row>
    <row r="6" spans="1:12" ht="15.75" x14ac:dyDescent="0.25">
      <c r="A6">
        <v>5</v>
      </c>
      <c r="B6">
        <v>2</v>
      </c>
      <c r="C6" s="4">
        <v>46114</v>
      </c>
      <c r="D6">
        <v>5</v>
      </c>
      <c r="E6">
        <v>1</v>
      </c>
      <c r="F6">
        <v>9</v>
      </c>
      <c r="G6">
        <v>9</v>
      </c>
      <c r="H6">
        <v>22</v>
      </c>
      <c r="I6">
        <v>1</v>
      </c>
      <c r="J6">
        <v>2390</v>
      </c>
      <c r="L6" s="1"/>
    </row>
    <row r="7" spans="1:12" ht="15.75" x14ac:dyDescent="0.25">
      <c r="A7">
        <v>6</v>
      </c>
      <c r="B7">
        <v>3</v>
      </c>
      <c r="C7" s="4">
        <v>46115</v>
      </c>
      <c r="D7">
        <v>7</v>
      </c>
      <c r="E7">
        <v>1</v>
      </c>
      <c r="F7">
        <v>3</v>
      </c>
      <c r="G7">
        <v>3</v>
      </c>
      <c r="H7">
        <v>20</v>
      </c>
      <c r="I7">
        <v>1</v>
      </c>
      <c r="J7">
        <v>1990</v>
      </c>
      <c r="L7" s="1"/>
    </row>
    <row r="8" spans="1:12" ht="15.75" x14ac:dyDescent="0.25">
      <c r="A8">
        <v>7</v>
      </c>
      <c r="B8">
        <v>3</v>
      </c>
      <c r="C8" s="4">
        <v>46115</v>
      </c>
      <c r="D8">
        <v>7</v>
      </c>
      <c r="E8">
        <v>1</v>
      </c>
      <c r="F8">
        <v>8</v>
      </c>
      <c r="G8">
        <v>8</v>
      </c>
      <c r="H8">
        <v>28</v>
      </c>
      <c r="I8">
        <v>2</v>
      </c>
      <c r="J8">
        <v>1690</v>
      </c>
      <c r="L8" s="1"/>
    </row>
    <row r="9" spans="1:12" ht="15.75" x14ac:dyDescent="0.25">
      <c r="A9">
        <v>8</v>
      </c>
      <c r="B9">
        <v>4</v>
      </c>
      <c r="C9" s="4">
        <v>46115</v>
      </c>
      <c r="D9">
        <v>9</v>
      </c>
      <c r="E9">
        <v>1</v>
      </c>
      <c r="F9">
        <v>6</v>
      </c>
      <c r="G9">
        <v>6</v>
      </c>
      <c r="H9">
        <v>28</v>
      </c>
      <c r="I9">
        <v>1</v>
      </c>
      <c r="J9">
        <v>4290</v>
      </c>
      <c r="L9" s="1"/>
    </row>
    <row r="10" spans="1:12" ht="15.75" x14ac:dyDescent="0.25">
      <c r="A10">
        <v>9</v>
      </c>
      <c r="B10">
        <v>4</v>
      </c>
      <c r="C10" s="4">
        <v>46115</v>
      </c>
      <c r="D10">
        <v>9</v>
      </c>
      <c r="E10">
        <v>1</v>
      </c>
      <c r="F10">
        <v>5</v>
      </c>
      <c r="G10">
        <v>5</v>
      </c>
      <c r="H10">
        <v>26</v>
      </c>
      <c r="I10">
        <v>1</v>
      </c>
      <c r="J10">
        <v>3190</v>
      </c>
      <c r="L10" s="1"/>
    </row>
    <row r="11" spans="1:12" ht="15.75" x14ac:dyDescent="0.25">
      <c r="A11">
        <v>10</v>
      </c>
      <c r="B11">
        <v>4</v>
      </c>
      <c r="C11" s="4">
        <v>46115</v>
      </c>
      <c r="D11">
        <v>9</v>
      </c>
      <c r="E11">
        <v>1</v>
      </c>
      <c r="F11">
        <v>9</v>
      </c>
      <c r="G11">
        <v>9</v>
      </c>
      <c r="H11">
        <v>21</v>
      </c>
      <c r="I11">
        <v>1</v>
      </c>
      <c r="J11">
        <v>2390</v>
      </c>
      <c r="L11" s="1"/>
    </row>
    <row r="12" spans="1:12" ht="15.75" x14ac:dyDescent="0.25">
      <c r="A12">
        <v>11</v>
      </c>
      <c r="B12">
        <v>5</v>
      </c>
      <c r="C12" s="4">
        <v>46115</v>
      </c>
      <c r="D12">
        <v>12</v>
      </c>
      <c r="E12">
        <v>2</v>
      </c>
      <c r="F12">
        <v>10</v>
      </c>
      <c r="G12">
        <v>10</v>
      </c>
      <c r="H12">
        <v>37</v>
      </c>
      <c r="I12">
        <v>1</v>
      </c>
      <c r="J12">
        <v>25000</v>
      </c>
      <c r="L12" s="1"/>
    </row>
    <row r="13" spans="1:12" ht="15.75" x14ac:dyDescent="0.25">
      <c r="A13">
        <v>12</v>
      </c>
      <c r="B13">
        <v>5</v>
      </c>
      <c r="C13" s="4">
        <v>46115</v>
      </c>
      <c r="D13">
        <v>12</v>
      </c>
      <c r="E13">
        <v>3</v>
      </c>
      <c r="F13">
        <v>29</v>
      </c>
      <c r="G13">
        <v>10</v>
      </c>
      <c r="H13">
        <v>42</v>
      </c>
      <c r="I13">
        <v>1</v>
      </c>
      <c r="J13">
        <v>21500</v>
      </c>
      <c r="L13" s="1"/>
    </row>
    <row r="14" spans="1:12" ht="15.75" x14ac:dyDescent="0.25">
      <c r="A14">
        <v>13</v>
      </c>
      <c r="B14">
        <v>6</v>
      </c>
      <c r="C14" s="4">
        <v>46146</v>
      </c>
      <c r="D14">
        <v>14</v>
      </c>
      <c r="E14">
        <v>3</v>
      </c>
      <c r="F14">
        <v>25</v>
      </c>
      <c r="G14">
        <v>2</v>
      </c>
      <c r="H14">
        <v>42</v>
      </c>
      <c r="I14">
        <v>2</v>
      </c>
      <c r="J14">
        <v>9567</v>
      </c>
      <c r="L14" s="1"/>
    </row>
    <row r="15" spans="1:12" ht="15.75" x14ac:dyDescent="0.25">
      <c r="A15">
        <v>14</v>
      </c>
      <c r="B15">
        <v>6</v>
      </c>
      <c r="C15" s="4">
        <v>46146</v>
      </c>
      <c r="D15">
        <v>14</v>
      </c>
      <c r="E15">
        <v>3</v>
      </c>
      <c r="F15">
        <v>27</v>
      </c>
      <c r="G15">
        <v>16</v>
      </c>
      <c r="H15">
        <v>43</v>
      </c>
      <c r="I15">
        <v>1</v>
      </c>
      <c r="J15">
        <v>10155</v>
      </c>
      <c r="L15" s="1"/>
    </row>
    <row r="16" spans="1:12" ht="15.75" x14ac:dyDescent="0.25">
      <c r="A16">
        <v>15</v>
      </c>
      <c r="B16">
        <v>6</v>
      </c>
      <c r="C16" s="4">
        <v>46146</v>
      </c>
      <c r="D16">
        <v>14</v>
      </c>
      <c r="E16">
        <v>3</v>
      </c>
      <c r="F16">
        <v>24</v>
      </c>
      <c r="G16">
        <v>15</v>
      </c>
      <c r="H16">
        <v>42</v>
      </c>
      <c r="I16">
        <v>1</v>
      </c>
      <c r="J16">
        <v>7890</v>
      </c>
      <c r="L16" s="1"/>
    </row>
    <row r="17" spans="1:13" ht="15.75" x14ac:dyDescent="0.25">
      <c r="A17">
        <v>16</v>
      </c>
      <c r="B17">
        <v>7</v>
      </c>
      <c r="C17" s="4">
        <v>46147</v>
      </c>
      <c r="D17">
        <v>15</v>
      </c>
      <c r="E17">
        <v>2</v>
      </c>
      <c r="F17">
        <v>15</v>
      </c>
      <c r="G17">
        <v>14</v>
      </c>
      <c r="H17">
        <v>38</v>
      </c>
      <c r="I17">
        <v>1</v>
      </c>
      <c r="J17">
        <v>7130</v>
      </c>
      <c r="L17" s="1"/>
    </row>
    <row r="18" spans="1:13" ht="15.75" x14ac:dyDescent="0.25">
      <c r="A18">
        <v>17</v>
      </c>
      <c r="B18">
        <v>7</v>
      </c>
      <c r="C18" s="4">
        <v>46147</v>
      </c>
      <c r="D18">
        <v>15</v>
      </c>
      <c r="E18">
        <v>2</v>
      </c>
      <c r="F18">
        <v>16</v>
      </c>
      <c r="G18">
        <v>14</v>
      </c>
      <c r="H18">
        <v>37</v>
      </c>
      <c r="I18">
        <v>1</v>
      </c>
      <c r="J18">
        <v>12340</v>
      </c>
      <c r="M18" s="1"/>
    </row>
    <row r="19" spans="1:13" ht="15.75" x14ac:dyDescent="0.25">
      <c r="A19">
        <v>18</v>
      </c>
      <c r="B19">
        <v>7</v>
      </c>
      <c r="C19" s="4">
        <v>46147</v>
      </c>
      <c r="D19">
        <v>15</v>
      </c>
      <c r="E19">
        <v>2</v>
      </c>
      <c r="F19">
        <v>12</v>
      </c>
      <c r="G19">
        <v>11</v>
      </c>
      <c r="H19">
        <v>39</v>
      </c>
      <c r="I19">
        <v>1</v>
      </c>
      <c r="J19">
        <v>17000</v>
      </c>
      <c r="M19" s="1"/>
    </row>
    <row r="20" spans="1:13" ht="15.75" x14ac:dyDescent="0.25">
      <c r="A20">
        <v>19</v>
      </c>
      <c r="B20">
        <v>7</v>
      </c>
      <c r="C20" s="4">
        <v>46147</v>
      </c>
      <c r="D20">
        <v>15</v>
      </c>
      <c r="E20">
        <v>2</v>
      </c>
      <c r="F20">
        <v>13</v>
      </c>
      <c r="G20">
        <v>12</v>
      </c>
      <c r="H20">
        <v>37</v>
      </c>
      <c r="I20">
        <v>1</v>
      </c>
      <c r="J20">
        <v>7500</v>
      </c>
      <c r="M20" s="1"/>
    </row>
    <row r="21" spans="1:13" ht="15.75" x14ac:dyDescent="0.25">
      <c r="A21">
        <v>20</v>
      </c>
      <c r="B21">
        <v>7</v>
      </c>
      <c r="C21" s="4">
        <v>46147</v>
      </c>
      <c r="D21">
        <v>15</v>
      </c>
      <c r="E21">
        <v>2</v>
      </c>
      <c r="F21">
        <v>21</v>
      </c>
      <c r="G21">
        <v>12</v>
      </c>
      <c r="H21">
        <v>38</v>
      </c>
      <c r="I21">
        <v>2</v>
      </c>
      <c r="J21">
        <v>8765</v>
      </c>
      <c r="M21" s="1"/>
    </row>
    <row r="22" spans="1:13" ht="15.75" x14ac:dyDescent="0.25">
      <c r="A22">
        <v>21</v>
      </c>
      <c r="B22">
        <v>8</v>
      </c>
      <c r="C22" s="4">
        <v>46149</v>
      </c>
      <c r="D22">
        <v>17</v>
      </c>
      <c r="E22">
        <v>2</v>
      </c>
      <c r="F22">
        <v>18</v>
      </c>
      <c r="G22">
        <v>12</v>
      </c>
      <c r="H22">
        <v>39</v>
      </c>
      <c r="I22">
        <v>1</v>
      </c>
      <c r="J22">
        <v>7550</v>
      </c>
      <c r="M22" s="1"/>
    </row>
    <row r="23" spans="1:13" ht="15.75" x14ac:dyDescent="0.25">
      <c r="A23">
        <v>22</v>
      </c>
      <c r="B23">
        <v>8</v>
      </c>
      <c r="C23" s="4">
        <v>46149</v>
      </c>
      <c r="D23">
        <v>17</v>
      </c>
      <c r="E23">
        <v>2</v>
      </c>
      <c r="F23">
        <v>22</v>
      </c>
      <c r="G23">
        <v>12</v>
      </c>
      <c r="H23">
        <v>38</v>
      </c>
      <c r="I23">
        <v>1</v>
      </c>
      <c r="J23">
        <v>7795</v>
      </c>
      <c r="M23" s="1"/>
    </row>
    <row r="24" spans="1:13" ht="15.75" x14ac:dyDescent="0.25">
      <c r="A24">
        <v>23</v>
      </c>
      <c r="B24">
        <v>8</v>
      </c>
      <c r="C24" s="4">
        <v>46149</v>
      </c>
      <c r="D24">
        <v>17</v>
      </c>
      <c r="E24">
        <v>2</v>
      </c>
      <c r="F24">
        <v>11</v>
      </c>
      <c r="G24">
        <v>10</v>
      </c>
      <c r="H24">
        <v>40</v>
      </c>
      <c r="I24">
        <v>1</v>
      </c>
      <c r="J24">
        <v>15000</v>
      </c>
      <c r="M24" s="1"/>
    </row>
    <row r="25" spans="1:13" ht="15.75" x14ac:dyDescent="0.25">
      <c r="A25">
        <v>24</v>
      </c>
      <c r="B25">
        <v>9</v>
      </c>
      <c r="C25" s="4">
        <v>46150</v>
      </c>
      <c r="D25">
        <v>20</v>
      </c>
      <c r="E25">
        <v>3</v>
      </c>
      <c r="F25">
        <v>24</v>
      </c>
      <c r="G25">
        <v>15</v>
      </c>
      <c r="H25">
        <v>42</v>
      </c>
      <c r="I25">
        <v>1</v>
      </c>
      <c r="J25">
        <v>7890</v>
      </c>
      <c r="M25" s="1"/>
    </row>
    <row r="26" spans="1:13" ht="15.75" x14ac:dyDescent="0.25">
      <c r="A26">
        <v>25</v>
      </c>
      <c r="B26">
        <v>9</v>
      </c>
      <c r="C26" s="4">
        <v>46150</v>
      </c>
      <c r="D26">
        <v>20</v>
      </c>
      <c r="E26">
        <v>3</v>
      </c>
      <c r="F26">
        <v>30</v>
      </c>
      <c r="G26">
        <v>13</v>
      </c>
      <c r="H26">
        <v>42</v>
      </c>
      <c r="I26">
        <v>1</v>
      </c>
      <c r="J26">
        <v>14567</v>
      </c>
      <c r="M26" s="1"/>
    </row>
    <row r="27" spans="1:13" ht="15.75" x14ac:dyDescent="0.25">
      <c r="A27">
        <v>26</v>
      </c>
      <c r="B27">
        <v>9</v>
      </c>
      <c r="C27" s="4">
        <v>46150</v>
      </c>
      <c r="D27">
        <v>20</v>
      </c>
      <c r="E27">
        <v>3</v>
      </c>
      <c r="F27">
        <v>31</v>
      </c>
      <c r="G27">
        <v>10</v>
      </c>
      <c r="H27">
        <v>44</v>
      </c>
      <c r="I27">
        <v>1</v>
      </c>
      <c r="J27">
        <v>15670</v>
      </c>
      <c r="M27" s="1"/>
    </row>
    <row r="28" spans="1:13" ht="15.75" x14ac:dyDescent="0.25">
      <c r="A28">
        <v>27</v>
      </c>
      <c r="B28">
        <v>9</v>
      </c>
      <c r="C28" s="4">
        <v>46150</v>
      </c>
      <c r="D28">
        <v>20</v>
      </c>
      <c r="E28">
        <v>3</v>
      </c>
      <c r="F28">
        <v>26</v>
      </c>
      <c r="G28">
        <v>10</v>
      </c>
      <c r="H28">
        <v>43</v>
      </c>
      <c r="I28">
        <v>1</v>
      </c>
      <c r="J28">
        <v>24569</v>
      </c>
      <c r="M28" s="1"/>
    </row>
    <row r="29" spans="1:13" ht="15.75" x14ac:dyDescent="0.25">
      <c r="A29">
        <v>28</v>
      </c>
      <c r="B29">
        <v>10</v>
      </c>
      <c r="C29" s="4">
        <v>46150</v>
      </c>
      <c r="D29">
        <v>17</v>
      </c>
      <c r="E29">
        <v>1</v>
      </c>
      <c r="F29">
        <v>9</v>
      </c>
      <c r="G29">
        <v>9</v>
      </c>
      <c r="H29">
        <v>21</v>
      </c>
      <c r="I29">
        <v>1</v>
      </c>
      <c r="J29">
        <v>2390</v>
      </c>
      <c r="M29" s="1"/>
    </row>
    <row r="30" spans="1:13" ht="15.75" x14ac:dyDescent="0.25">
      <c r="A30">
        <v>29</v>
      </c>
      <c r="B30">
        <v>10</v>
      </c>
      <c r="C30" s="4">
        <v>46150</v>
      </c>
      <c r="D30">
        <v>17</v>
      </c>
      <c r="E30">
        <v>2</v>
      </c>
      <c r="F30">
        <v>16</v>
      </c>
      <c r="G30">
        <v>14</v>
      </c>
      <c r="H30">
        <v>39</v>
      </c>
      <c r="I30">
        <v>1</v>
      </c>
      <c r="J30">
        <v>12340</v>
      </c>
      <c r="M30" s="1"/>
    </row>
    <row r="31" spans="1:13" ht="15.75" x14ac:dyDescent="0.25">
      <c r="A31">
        <v>30</v>
      </c>
      <c r="B31">
        <v>10</v>
      </c>
      <c r="C31" s="4">
        <v>46150</v>
      </c>
      <c r="D31">
        <v>17</v>
      </c>
      <c r="E31">
        <v>2</v>
      </c>
      <c r="F31">
        <v>12</v>
      </c>
      <c r="G31">
        <v>11</v>
      </c>
      <c r="H31">
        <v>39</v>
      </c>
      <c r="I31">
        <v>1</v>
      </c>
      <c r="J31">
        <v>17000</v>
      </c>
      <c r="M31" s="1"/>
    </row>
    <row r="32" spans="1:13" ht="15.75" x14ac:dyDescent="0.25">
      <c r="M3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08364C-FD72-40F2-8C6B-22BE73241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products</vt:lpstr>
      <vt:lpstr>users</vt:lpstr>
      <vt:lpstr>orders</vt:lpstr>
      <vt:lpstr>manufacturer</vt:lpstr>
      <vt:lpstr>category</vt:lpstr>
      <vt:lpstr>product_size</vt:lpstr>
      <vt:lpstr>subcategory</vt:lpstr>
      <vt:lpstr>products_data</vt:lpstr>
      <vt:lpstr>users_import</vt:lpstr>
      <vt:lpstr>user_role</vt:lpstr>
      <vt:lpstr>orders_import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Турчанинов Андрей Евгеньевич</cp:lastModifiedBy>
  <dcterms:created xsi:type="dcterms:W3CDTF">2026-05-09T06:06:13Z</dcterms:created>
  <dcterms:modified xsi:type="dcterms:W3CDTF">2026-09-30T07:24:14Z</dcterms:modified>
</cp:coreProperties>
</file>